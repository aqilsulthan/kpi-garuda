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B7770D"/>
      <sz val="10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4" borderId="1" pivotButton="0" quotePrefix="0" xfId="0"/>
    <xf numFmtId="164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164" fontId="8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keandalan operasional armada pesawat</t>
        </is>
      </c>
      <c r="C2" s="3" t="inlineStr">
        <is>
          <t>Fleet Technical Reliability &amp; Readiness</t>
        </is>
      </c>
      <c r="D2" s="2" t="n">
        <v>85</v>
      </c>
      <c r="E2" s="2" t="n">
        <v>98</v>
      </c>
      <c r="F2" s="3" t="inlineStr">
        <is>
          <t>%</t>
        </is>
      </c>
      <c r="G2" s="4" t="n">
        <v>0.2</v>
      </c>
      <c r="H2" s="3" t="inlineStr">
        <is>
          <t>No. 2 On-Time Performance (OTP) &amp; Ops Reliability</t>
        </is>
      </c>
      <c r="I2" s="2" t="inlineStr">
        <is>
          <t>Monitoring Technical Delay dan kesiapan lisensi personel.</t>
        </is>
      </c>
      <c r="J2" s="5" t="inlineStr">
        <is>
          <t>Max</t>
        </is>
      </c>
      <c r="K2" s="3" t="inlineStr">
        <is>
          <t>Kunci utama dukungan teknik terhadap jadwal penerbangan.</t>
        </is>
      </c>
    </row>
    <row r="3" ht="40" customHeight="1">
      <c r="A3" s="2" t="n">
        <v>2</v>
      </c>
      <c r="B3" s="3" t="inlineStr">
        <is>
          <t>Menjamin integritas aset teknis dan suku cadang</t>
        </is>
      </c>
      <c r="C3" s="3" t="inlineStr">
        <is>
          <t>Asset Integrity &amp; Parts Traceability Index</t>
        </is>
      </c>
      <c r="D3" s="2" t="n">
        <v>88</v>
      </c>
      <c r="E3" s="2" t="n">
        <v>98</v>
      </c>
      <c r="F3" s="3" t="inlineStr">
        <is>
          <t>%</t>
        </is>
      </c>
      <c r="G3" s="4" t="n">
        <v>0.15</v>
      </c>
      <c r="H3" s="3" t="inlineStr">
        <is>
          <t>No. 1 Safety &amp; Airworthiness Excellence Index</t>
        </is>
      </c>
      <c r="I3" s="2" t="inlineStr">
        <is>
          <t>Kontrol GSE Serviceability dan akurasi dokumen suku cadang.</t>
        </is>
      </c>
      <c r="J3" s="5" t="inlineStr">
        <is>
          <t>Max</t>
        </is>
      </c>
      <c r="K3" s="3" t="inlineStr">
        <is>
          <t>Mencegah penggunaan komponen ilegal dan kerusakan alat pendukung.</t>
        </is>
      </c>
    </row>
    <row r="4" ht="40" customHeight="1">
      <c r="A4" s="2" t="n">
        <v>3</v>
      </c>
      <c r="B4" s="3" t="inlineStr">
        <is>
          <t>Akselerasi modernisasi dan efisiensi armada</t>
        </is>
      </c>
      <c r="C4" s="3" t="inlineStr">
        <is>
          <t>Fleet Modernization &amp; Retrofit Execution</t>
        </is>
      </c>
      <c r="D4" s="2" t="n">
        <v>60</v>
      </c>
      <c r="E4" s="2" t="n">
        <v>100</v>
      </c>
      <c r="F4" s="3" t="inlineStr">
        <is>
          <t>% (Progress)</t>
        </is>
      </c>
      <c r="G4" s="4" t="n">
        <v>0.15</v>
      </c>
      <c r="H4" s="3" t="inlineStr">
        <is>
          <t>No. 3 Cost Leadership &amp; CASK Optimization</t>
        </is>
      </c>
      <c r="I4" s="2" t="inlineStr">
        <is>
          <t>Penyelesaian program retrofit interior dan instalasi WiFi.</t>
        </is>
      </c>
      <c r="J4" s="5" t="inlineStr">
        <is>
          <t>Max</t>
        </is>
      </c>
      <c r="K4" s="3" t="inlineStr">
        <is>
          <t>Meningkatkan daya saing armada dan efisiensi bahan bakar.</t>
        </is>
      </c>
    </row>
    <row r="5" ht="40" customHeight="1">
      <c r="A5" s="2" t="n">
        <v>4</v>
      </c>
      <c r="B5" s="3" t="inlineStr">
        <is>
          <t>Optimalisasi biaya teknik dan produktivitas SDM</t>
        </is>
      </c>
      <c r="C5" s="3" t="inlineStr">
        <is>
          <t>Maintenance Cost &amp; Resource Efficiency</t>
        </is>
      </c>
      <c r="D5" s="2" t="n">
        <v>80</v>
      </c>
      <c r="E5" s="2" t="n">
        <v>95</v>
      </c>
      <c r="F5" s="3" t="inlineStr">
        <is>
          <t>%</t>
        </is>
      </c>
      <c r="G5" s="4" t="n">
        <v>0.15</v>
      </c>
      <c r="H5" s="3" t="inlineStr">
        <is>
          <t>No. 3 Cost Leadership &amp; CASK Optimization</t>
        </is>
      </c>
      <c r="I5" s="2" t="inlineStr">
        <is>
          <t>Kontrol man-hour utilization dan varians anggaran proyek.</t>
        </is>
      </c>
      <c r="J5" s="5" t="inlineStr">
        <is>
          <t>Max</t>
        </is>
      </c>
      <c r="K5" s="3" t="inlineStr">
        <is>
          <t>Menjaga pengeluaran teknik tetap kompetitif (Low CASK).</t>
        </is>
      </c>
    </row>
    <row r="6" ht="40" customHeight="1">
      <c r="A6" s="2" t="n">
        <v>5</v>
      </c>
      <c r="B6" s="3" t="inlineStr">
        <is>
          <t>Transformasi digital operasional teknik</t>
        </is>
      </c>
      <c r="C6" s="3" t="inlineStr">
        <is>
          <t>Engineering Digitalization &amp; Data Integrity</t>
        </is>
      </c>
      <c r="D6" s="2" t="n">
        <v>75</v>
      </c>
      <c r="E6" s="2" t="n">
        <v>98</v>
      </c>
      <c r="F6" s="3" t="inlineStr">
        <is>
          <t>%</t>
        </is>
      </c>
      <c r="G6" s="4" t="n">
        <v>0.15</v>
      </c>
      <c r="H6" s="3" t="inlineStr">
        <is>
          <t>No. 5 Digital Transformation &amp; SAP Integration</t>
        </is>
      </c>
      <c r="I6" s="2" t="inlineStr">
        <is>
          <t>Implementasi e-Logbook dan PMIS secara real-time.</t>
        </is>
      </c>
      <c r="J6" s="5" t="inlineStr">
        <is>
          <t>Max</t>
        </is>
      </c>
      <c r="K6" s="3" t="inlineStr">
        <is>
          <t>Memastikan integritas data teknis dari lapangan ke sistem pusat.</t>
        </is>
      </c>
    </row>
    <row r="7" ht="40" customHeight="1">
      <c r="A7" s="2" t="n">
        <v>6</v>
      </c>
      <c r="B7" s="3" t="inlineStr">
        <is>
          <t>Penegakan standar keselamatan dan kualitas</t>
        </is>
      </c>
      <c r="C7" s="3" t="inlineStr">
        <is>
          <t>Safety &amp; Quality Management Excellence</t>
        </is>
      </c>
      <c r="D7" s="2" t="n">
        <v>90</v>
      </c>
      <c r="E7" s="2" t="n">
        <v>100</v>
      </c>
      <c r="F7" s="3" t="inlineStr">
        <is>
          <t>%</t>
        </is>
      </c>
      <c r="G7" s="4" t="n">
        <v>0.2</v>
      </c>
      <c r="H7" s="3" t="inlineStr">
        <is>
          <t>No. 1 Safety &amp; Airworthiness Excellence Index</t>
        </is>
      </c>
      <c r="I7" s="2" t="inlineStr">
        <is>
          <t>Pemenuhan program audit dan penutupan temuan tepat waktu.</t>
        </is>
      </c>
      <c r="J7" s="5" t="inlineStr">
        <is>
          <t>Max</t>
        </is>
      </c>
      <c r="K7" s="3" t="inlineStr">
        <is>
          <t>Kepatuhan mutlak pada regulasi kelaikan udara (DGCA/FAA).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6" t="inlineStr">
        <is>
          <t>Action Verb/KPI</t>
        </is>
      </c>
      <c r="B1" s="6" t="inlineStr">
        <is>
          <t>Target</t>
        </is>
      </c>
      <c r="C1" s="6" t="inlineStr">
        <is>
          <t>YTD Actual</t>
        </is>
      </c>
      <c r="D1" s="6" t="inlineStr">
        <is>
          <t>Polaritas</t>
        </is>
      </c>
      <c r="E1" s="6" t="inlineStr">
        <is>
          <t>Bobot</t>
        </is>
      </c>
      <c r="F1" s="6" t="inlineStr">
        <is>
          <t>Status</t>
        </is>
      </c>
      <c r="G1" s="6" t="inlineStr">
        <is>
          <t>Ach. Rate</t>
        </is>
      </c>
      <c r="H1" s="6" t="inlineStr">
        <is>
          <t>Score</t>
        </is>
      </c>
    </row>
    <row r="2" ht="30" customHeight="1">
      <c r="A2" s="3" t="inlineStr">
        <is>
          <t>Fleet Technical Reliability &amp; Readiness</t>
        </is>
      </c>
      <c r="B2" s="7" t="n">
        <v>98</v>
      </c>
      <c r="C2" s="19" t="n">
        <v>58.42</v>
      </c>
      <c r="D2" s="7" t="inlineStr">
        <is>
          <t>Max</t>
        </is>
      </c>
      <c r="E2" s="9" t="n">
        <v>0.2</v>
      </c>
      <c r="F2" s="7">
        <f>IF(G2="","—",IF(G2&gt;=0.9,"ACHIEVE","NOT ACHIEVE"))</f>
        <v/>
      </c>
      <c r="G2" s="10">
        <f>IF(C2="","",IF(D2="Max",C2/B2,B2/C2))</f>
        <v/>
      </c>
      <c r="H2" s="10">
        <f>IF(G2="","",G2*E2)</f>
        <v/>
      </c>
    </row>
    <row r="3" ht="30" customHeight="1">
      <c r="A3" s="3" t="inlineStr">
        <is>
          <t>Asset Integrity &amp; Parts Traceability Index</t>
        </is>
      </c>
      <c r="B3" s="7" t="n">
        <v>98</v>
      </c>
      <c r="C3" s="19" t="n">
        <v>88</v>
      </c>
      <c r="D3" s="7" t="inlineStr">
        <is>
          <t>Max</t>
        </is>
      </c>
      <c r="E3" s="9" t="n">
        <v>0.15</v>
      </c>
      <c r="F3" s="7">
        <f>IF(G3="","—",IF(G3&gt;=0.9,"ACHIEVE","NOT ACHIEVE"))</f>
        <v/>
      </c>
      <c r="G3" s="10">
        <f>IF(C3="","",IF(D3="Max",C3/B3,B3/C3))</f>
        <v/>
      </c>
      <c r="H3" s="10">
        <f>IF(G3="","",G3*E3)</f>
        <v/>
      </c>
    </row>
    <row r="4" ht="30" customHeight="1">
      <c r="A4" s="3" t="inlineStr">
        <is>
          <t>Fleet Modernization &amp; Retrofit Execution</t>
        </is>
      </c>
      <c r="B4" s="7" t="n">
        <v>100</v>
      </c>
      <c r="C4" s="19" t="n">
        <v>71.59999999999999</v>
      </c>
      <c r="D4" s="7" t="inlineStr">
        <is>
          <t>Max</t>
        </is>
      </c>
      <c r="E4" s="9" t="n">
        <v>0.15</v>
      </c>
      <c r="F4" s="7">
        <f>IF(G4="","—",IF(G4&gt;=0.9,"ACHIEVE","NOT ACHIEVE"))</f>
        <v/>
      </c>
      <c r="G4" s="10">
        <f>IF(C4="","",IF(D4="Max",C4/B4,B4/C4))</f>
        <v/>
      </c>
      <c r="H4" s="10">
        <f>IF(G4="","",G4*E4)</f>
        <v/>
      </c>
    </row>
    <row r="5" ht="30" customHeight="1">
      <c r="A5" s="3" t="inlineStr">
        <is>
          <t>Maintenance Cost &amp; Resource Efficiency</t>
        </is>
      </c>
      <c r="B5" s="7" t="n">
        <v>95</v>
      </c>
      <c r="C5" s="19" t="n">
        <v>77.7</v>
      </c>
      <c r="D5" s="7" t="inlineStr">
        <is>
          <t>Max</t>
        </is>
      </c>
      <c r="E5" s="9" t="n">
        <v>0.15</v>
      </c>
      <c r="F5" s="7">
        <f>IF(G5="","—",IF(G5&gt;=0.9,"ACHIEVE","NOT ACHIEVE"))</f>
        <v/>
      </c>
      <c r="G5" s="10">
        <f>IF(C5="","",IF(D5="Max",C5/B5,B5/C5))</f>
        <v/>
      </c>
      <c r="H5" s="10">
        <f>IF(G5="","",G5*E5)</f>
        <v/>
      </c>
    </row>
    <row r="6" ht="30" customHeight="1">
      <c r="A6" s="3" t="inlineStr">
        <is>
          <t>Engineering Digitalization &amp; Data Integrity</t>
        </is>
      </c>
      <c r="B6" s="7" t="n">
        <v>98</v>
      </c>
      <c r="C6" s="19" t="n">
        <v>75.7</v>
      </c>
      <c r="D6" s="7" t="inlineStr">
        <is>
          <t>Max</t>
        </is>
      </c>
      <c r="E6" s="9" t="n">
        <v>0.15</v>
      </c>
      <c r="F6" s="7">
        <f>IF(G6="","—",IF(G6&gt;=0.9,"ACHIEVE","NOT ACHIEVE"))</f>
        <v/>
      </c>
      <c r="G6" s="10">
        <f>IF(C6="","",IF(D6="Max",C6/B6,B6/C6))</f>
        <v/>
      </c>
      <c r="H6" s="10">
        <f>IF(G6="","",G6*E6)</f>
        <v/>
      </c>
    </row>
    <row r="7" ht="30" customHeight="1">
      <c r="A7" s="3" t="inlineStr">
        <is>
          <t>Safety &amp; Quality Management Excellence</t>
        </is>
      </c>
      <c r="B7" s="7" t="n">
        <v>100</v>
      </c>
      <c r="C7" s="19" t="n">
        <v>96.8</v>
      </c>
      <c r="D7" s="7" t="inlineStr">
        <is>
          <t>Max</t>
        </is>
      </c>
      <c r="E7" s="9" t="n">
        <v>0.2</v>
      </c>
      <c r="F7" s="7">
        <f>IF(G7="","—",IF(G7&gt;=0.9,"ACHIEVE","NOT ACHIEVE"))</f>
        <v/>
      </c>
      <c r="G7" s="10">
        <f>IF(C7="","",IF(D7="Max",C7/B7,B7/C7))</f>
        <v/>
      </c>
      <c r="H7" s="10">
        <f>IF(G7="","",G7*E7)</f>
        <v/>
      </c>
    </row>
    <row r="8"/>
    <row r="9" ht="30" customHeight="1">
      <c r="A9" s="11" t="inlineStr">
        <is>
          <t xml:space="preserve">TOTAL SCORE KPI ENGINEERING </t>
        </is>
      </c>
      <c r="H9" s="12">
        <f>IF(COUNTBLANK(C2:C7)&gt;0,"—",SUM(H2,H3,H4,H5,H6,H7))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3" t="inlineStr">
        <is>
          <t xml:space="preserve">Total Score KPI Engineering </t>
        </is>
      </c>
      <c r="B1" s="14">
        <f>score_kpi!H9</f>
        <v/>
      </c>
    </row>
    <row r="3">
      <c r="A3" s="15" t="inlineStr">
        <is>
          <t>🟢 HIJAU ≥ 90%</t>
        </is>
      </c>
      <c r="B3" s="16" t="inlineStr">
        <is>
          <t>Performa sesuai/melampaui target</t>
        </is>
      </c>
    </row>
    <row r="4">
      <c r="A4" s="17" t="inlineStr">
        <is>
          <t>🟡 KUNING 75-89%</t>
        </is>
      </c>
      <c r="B4" s="16" t="inlineStr">
        <is>
          <t>Performa perlu perhatian</t>
        </is>
      </c>
    </row>
    <row r="5">
      <c r="A5" s="18" t="inlineStr">
        <is>
          <t>🔴 MERAH &lt; 75%</t>
        </is>
      </c>
      <c r="B5" s="16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2026-03-09T07:12:45Z</dcterms:modified>
</cp:coreProperties>
</file>