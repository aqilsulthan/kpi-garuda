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" sheetId="1" state="visible" r:id="rId1"/>
    <sheet xmlns:r="http://schemas.openxmlformats.org/officeDocument/2006/relationships" name="score_kpi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A7A4A"/>
      <sz val="10"/>
    </font>
    <font>
      <name val="Arial"/>
      <b val="1"/>
      <sz val="10"/>
    </font>
    <font>
      <name val="Arial"/>
      <b val="1"/>
      <color rgb="001E3A5F"/>
      <sz val="11"/>
    </font>
    <font>
      <name val="Arial"/>
      <b val="1"/>
      <color rgb="001E3A5F"/>
      <sz val="12"/>
    </font>
    <font>
      <name val="Arial"/>
      <b val="1"/>
      <color rgb="00FFFFFF"/>
      <sz val="12"/>
    </font>
    <font>
      <name val="Arial"/>
      <b val="1"/>
      <color rgb="001E3A5F"/>
      <sz val="14"/>
    </font>
    <font>
      <name val="Arial"/>
      <b val="1"/>
      <color rgb="00B7770D"/>
      <sz val="10"/>
    </font>
    <font>
      <name val="Arial"/>
      <b val="1"/>
      <color rgb="00C0392B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1A7A4A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9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9" fontId="2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center" vertical="center"/>
    </xf>
    <xf numFmtId="0" fontId="5" fillId="4" borderId="1" pivotButton="0" quotePrefix="0" xfId="0"/>
    <xf numFmtId="164" fontId="6" fillId="4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164" fontId="8" fillId="4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5" customWidth="1" min="2" max="2"/>
    <col width="35" customWidth="1" min="3" max="3"/>
    <col width="10" customWidth="1" min="4" max="4"/>
    <col width="10" customWidth="1" min="5" max="5"/>
    <col width="12" customWidth="1" min="6" max="6"/>
    <col width="10" customWidth="1" min="7" max="7"/>
    <col width="45" customWidth="1" min="8" max="8"/>
    <col width="10" customWidth="1" min="9" max="9"/>
    <col width="35" customWidth="1" min="10" max="10"/>
  </cols>
  <sheetData>
    <row r="1" ht="35" customHeight="1">
      <c r="A1" s="1" t="inlineStr">
        <is>
          <t>No.</t>
        </is>
      </c>
      <c r="B1" s="1" t="inlineStr">
        <is>
          <t>Objective Sentence</t>
        </is>
      </c>
      <c r="C1" s="1" t="inlineStr">
        <is>
          <t>Action Verb/KPI</t>
        </is>
      </c>
      <c r="D1" s="1" t="inlineStr">
        <is>
          <t>From</t>
        </is>
      </c>
      <c r="E1" s="1" t="inlineStr">
        <is>
          <t>To</t>
        </is>
      </c>
      <c r="F1" s="1" t="inlineStr">
        <is>
          <t>Parameters</t>
        </is>
      </c>
      <c r="G1" s="1" t="inlineStr">
        <is>
          <t>Bobot (%)</t>
        </is>
      </c>
      <c r="H1" s="1" t="inlineStr">
        <is>
          <t>Key Driver (SMART Principles)</t>
        </is>
      </c>
      <c r="I1" s="1" t="inlineStr">
        <is>
          <t>Polaritas</t>
        </is>
      </c>
      <c r="J1" s="1" t="inlineStr">
        <is>
          <t>Remarks</t>
        </is>
      </c>
    </row>
    <row r="2" ht="40" customHeight="1">
      <c r="A2" s="2" t="n">
        <v>1</v>
      </c>
      <c r="B2" s="3" t="inlineStr">
        <is>
          <t>Menjamin standar kelaikan udara dan keselamatan fisik</t>
        </is>
      </c>
      <c r="C2" s="3" t="inlineStr">
        <is>
          <t>Safety &amp; Airworthiness Excellence Index</t>
        </is>
      </c>
      <c r="D2" s="2" t="n">
        <v>90</v>
      </c>
      <c r="E2" s="2" t="n">
        <v>100</v>
      </c>
      <c r="F2" s="3" t="inlineStr">
        <is>
          <t>%</t>
        </is>
      </c>
      <c r="G2" s="4" t="n">
        <v>0.25</v>
      </c>
      <c r="H2" s="3" t="inlineStr">
        <is>
          <t>Integritas suku cadang, kepatuhan audit hangar, dan training SMS.</t>
        </is>
      </c>
      <c r="I2" s="5" t="inlineStr">
        <is>
          <t>Max</t>
        </is>
      </c>
      <c r="J2" s="3" t="inlineStr">
        <is>
          <t>Pilar utama; kegagalan di sini adalah No-Go bagi maskapai.</t>
        </is>
      </c>
    </row>
    <row r="3" ht="40" customHeight="1">
      <c r="A3" s="2" t="n">
        <v>2</v>
      </c>
      <c r="B3" s="3" t="inlineStr">
        <is>
          <t>Mengoptimalkan keandalan jadwal penerbangan</t>
        </is>
      </c>
      <c r="C3" s="3" t="inlineStr">
        <is>
          <t>On-Time Performance (OTP) &amp; Ops Reliability</t>
        </is>
      </c>
      <c r="D3" s="2" t="n">
        <v>80</v>
      </c>
      <c r="E3" s="2" t="n">
        <v>95</v>
      </c>
      <c r="F3" s="3" t="inlineStr">
        <is>
          <t>%</t>
        </is>
      </c>
      <c r="G3" s="4" t="n">
        <v>0.15</v>
      </c>
      <c r="H3" s="3" t="inlineStr">
        <is>
          <t>Penurunan technical delay, kecepatan rekrutmen kru, dan efisiensi pengadaan.</t>
        </is>
      </c>
      <c r="I3" s="5" t="inlineStr">
        <is>
          <t>Max</t>
        </is>
      </c>
      <c r="J3" s="3" t="inlineStr">
        <is>
          <t>Mencerminkan kualitas produk inti maskapai kepada penumpang.</t>
        </is>
      </c>
    </row>
    <row r="4" ht="40" customHeight="1">
      <c r="A4" s="2" t="n">
        <v>3</v>
      </c>
      <c r="B4" s="3" t="inlineStr">
        <is>
          <t>Pengendalian biaya unit dan efisiensi sumber daya</t>
        </is>
      </c>
      <c r="C4" s="3" t="inlineStr">
        <is>
          <t>Cost Leadership &amp; CASK Optimization</t>
        </is>
      </c>
      <c r="D4" s="2" t="n">
        <v>85</v>
      </c>
      <c r="E4" s="2" t="n">
        <v>98</v>
      </c>
      <c r="F4" s="3" t="inlineStr">
        <is>
          <t>%</t>
        </is>
      </c>
      <c r="G4" s="4" t="n">
        <v>0.15</v>
      </c>
      <c r="H4" s="3" t="inlineStr">
        <is>
          <t>Efisiensi biaya maintenance, kontrol overtime SDM, dan IT cloud cost.</t>
        </is>
      </c>
      <c r="I4" s="5" t="inlineStr">
        <is>
          <t>Max</t>
        </is>
      </c>
      <c r="J4" s="3" t="inlineStr">
        <is>
          <t>Menjaga daya saing harga tiket melalui biaya operasional rendah.</t>
        </is>
      </c>
    </row>
    <row r="5" ht="40" customHeight="1">
      <c r="A5" s="2" t="n">
        <v>4</v>
      </c>
      <c r="B5" s="3" t="inlineStr">
        <is>
          <t>Menjamin ketahanan kas dan mitigasi risiko pasar</t>
        </is>
      </c>
      <c r="C5" s="3" t="inlineStr">
        <is>
          <t>Financial Strategy &amp; Liquidity Resilience</t>
        </is>
      </c>
      <c r="D5" s="2" t="n">
        <v>75</v>
      </c>
      <c r="E5" s="2" t="n">
        <v>95</v>
      </c>
      <c r="F5" s="3" t="inlineStr">
        <is>
          <t>%</t>
        </is>
      </c>
      <c r="G5" s="4" t="n">
        <v>0.1</v>
      </c>
      <c r="H5" s="3" t="inlineStr">
        <is>
          <t>Akurasi forecast cash flow, yield investasi, dan efektivitas hedging valas.</t>
        </is>
      </c>
      <c r="I5" s="5" t="inlineStr">
        <is>
          <t>Max</t>
        </is>
      </c>
      <c r="J5" s="3" t="inlineStr">
        <is>
          <t>Melindungi perusahaan dari fluktuasi harga avtur dan kurs USD.</t>
        </is>
      </c>
    </row>
    <row r="6" ht="40" customHeight="1">
      <c r="A6" s="2" t="n">
        <v>5</v>
      </c>
      <c r="B6" s="3" t="inlineStr">
        <is>
          <t>Akselerasi modernisasi sistem dan integrasi ERP</t>
        </is>
      </c>
      <c r="C6" s="3" t="inlineStr">
        <is>
          <t>Digital Transformation &amp; SAP Integration</t>
        </is>
      </c>
      <c r="D6" s="2" t="n">
        <v>40</v>
      </c>
      <c r="E6" s="2" t="n">
        <v>100</v>
      </c>
      <c r="F6" s="3" t="inlineStr">
        <is>
          <t>%</t>
        </is>
      </c>
      <c r="G6" s="4" t="n">
        <v>0.1</v>
      </c>
      <c r="H6" s="3" t="inlineStr">
        <is>
          <t>Penuntasan modul SAP (Fin/HCM), e-Logbook, dan modernisasi armada.</t>
        </is>
      </c>
      <c r="I6" s="5" t="inlineStr">
        <is>
          <t>Max</t>
        </is>
      </c>
      <c r="J6" s="3" t="inlineStr">
        <is>
          <t>Menghilangkan hambatan proses manual untuk efisiensi jangka panjang.</t>
        </is>
      </c>
    </row>
    <row r="7" ht="40" customHeight="1">
      <c r="A7" s="2" t="n">
        <v>6</v>
      </c>
      <c r="B7" s="3" t="inlineStr">
        <is>
          <t>Maksimalisasi pendapatan langsung dan ancillary</t>
        </is>
      </c>
      <c r="C7" s="3" t="inlineStr">
        <is>
          <t>Commercial Growth &amp; Ancillary Revenue</t>
        </is>
      </c>
      <c r="D7" s="2" t="n">
        <v>50</v>
      </c>
      <c r="E7" s="2" t="n">
        <v>95</v>
      </c>
      <c r="F7" s="3" t="inlineStr">
        <is>
          <t>%</t>
        </is>
      </c>
      <c r="G7" s="4" t="n">
        <v>0.1</v>
      </c>
      <c r="H7" s="3" t="inlineStr">
        <is>
          <t>Penyelesaian fitur penjualan digital, modul NDC, dan merchandising engine.</t>
        </is>
      </c>
      <c r="I7" s="5" t="inlineStr">
        <is>
          <t>Max</t>
        </is>
      </c>
      <c r="J7" s="3" t="inlineStr">
        <is>
          <t>Fokus pada pertumbuhan profitabilitas di luar tiket utama.</t>
        </is>
      </c>
    </row>
    <row r="8" ht="40" customHeight="1">
      <c r="A8" s="2" t="n">
        <v>7</v>
      </c>
      <c r="B8" s="3" t="inlineStr">
        <is>
          <t>Perlindungan aset digital dan infrastruktur kritis</t>
        </is>
      </c>
      <c r="C8" s="3" t="inlineStr">
        <is>
          <t>Cybersecurity &amp; Data Privacy Maturity</t>
        </is>
      </c>
      <c r="D8" s="2" t="n">
        <v>75</v>
      </c>
      <c r="E8" s="2" t="n">
        <v>98</v>
      </c>
      <c r="F8" s="3" t="inlineStr">
        <is>
          <t>%</t>
        </is>
      </c>
      <c r="G8" s="4" t="n">
        <v>0.075</v>
      </c>
      <c r="H8" s="3" t="inlineStr">
        <is>
          <t>Zero unauthorised access dan kelaikan disaster recovery (DRP).</t>
        </is>
      </c>
      <c r="I8" s="5" t="inlineStr">
        <is>
          <t>Max</t>
        </is>
      </c>
      <c r="J8" s="3" t="inlineStr">
        <is>
          <t>Melindungi data penumpang dan keberlangsungan sistem dari serangan siber.</t>
        </is>
      </c>
    </row>
    <row r="9" ht="40" customHeight="1">
      <c r="A9" s="2" t="n">
        <v>8</v>
      </c>
      <c r="B9" s="3" t="inlineStr">
        <is>
          <t>Menjamin tata kelola, legalitas, dan kepatuhan pajak</t>
        </is>
      </c>
      <c r="C9" s="3" t="inlineStr">
        <is>
          <t>Corporate Governance &amp; Legal Compliance</t>
        </is>
      </c>
      <c r="D9" s="2" t="n">
        <v>90</v>
      </c>
      <c r="E9" s="2" t="n">
        <v>100</v>
      </c>
      <c r="F9" s="3" t="inlineStr">
        <is>
          <t>%</t>
        </is>
      </c>
      <c r="G9" s="4" t="n">
        <v>0.075</v>
      </c>
      <c r="H9" s="3" t="inlineStr">
        <is>
          <t>Zero tax penalty, integritas audit eksternal, dan kepatuhan aturan kerja.</t>
        </is>
      </c>
      <c r="I9" s="5" t="inlineStr">
        <is>
          <t>Max</t>
        </is>
      </c>
      <c r="J9" s="3" t="inlineStr">
        <is>
          <t>Menghindari denda regulasi dan menjaga reputasi di mata investor.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45" customWidth="1" min="1" max="1"/>
    <col width="12" customWidth="1" min="2" max="2"/>
    <col width="12" customWidth="1" min="3" max="3"/>
    <col width="10" customWidth="1" min="4" max="4"/>
    <col width="10" customWidth="1" min="5" max="5"/>
    <col width="14" customWidth="1" min="6" max="6"/>
    <col width="12" customWidth="1" min="7" max="7"/>
    <col width="12" customWidth="1" min="8" max="8"/>
  </cols>
  <sheetData>
    <row r="1" ht="35" customHeight="1">
      <c r="A1" s="6" t="inlineStr">
        <is>
          <t>Action Verb/KPI</t>
        </is>
      </c>
      <c r="B1" s="6" t="inlineStr">
        <is>
          <t>Target</t>
        </is>
      </c>
      <c r="C1" s="6" t="inlineStr">
        <is>
          <t>YTD Actual</t>
        </is>
      </c>
      <c r="D1" s="6" t="inlineStr">
        <is>
          <t>Polaritas</t>
        </is>
      </c>
      <c r="E1" s="6" t="inlineStr">
        <is>
          <t>Bobot</t>
        </is>
      </c>
      <c r="F1" s="6" t="inlineStr">
        <is>
          <t>Status</t>
        </is>
      </c>
      <c r="G1" s="6" t="inlineStr">
        <is>
          <t>Ach. Rate</t>
        </is>
      </c>
      <c r="H1" s="6" t="inlineStr">
        <is>
          <t>Score</t>
        </is>
      </c>
    </row>
    <row r="2" ht="30" customHeight="1">
      <c r="A2" s="3" t="inlineStr">
        <is>
          <t>Safety &amp; Airworthiness Excellence Index</t>
        </is>
      </c>
      <c r="B2" s="7" t="n">
        <v>100</v>
      </c>
      <c r="C2" s="19" t="n">
        <v>77.70999999999999</v>
      </c>
      <c r="D2" s="7" t="inlineStr">
        <is>
          <t>Max</t>
        </is>
      </c>
      <c r="E2" s="9" t="n">
        <v>0.25</v>
      </c>
      <c r="F2" s="7">
        <f>IF(G2="","—",IF(G2&gt;=0.9,"ACHIEVE","NOT ACHIEVE"))</f>
        <v/>
      </c>
      <c r="G2" s="10">
        <f>IF(C2="","",IF(D2="Max",C2/B2,B2/C2))</f>
        <v/>
      </c>
      <c r="H2" s="10">
        <f>IF(G2="","",G2*E2)</f>
        <v/>
      </c>
    </row>
    <row r="3" ht="30" customHeight="1">
      <c r="A3" s="3" t="inlineStr">
        <is>
          <t>On-Time Performance (OTP) &amp; Ops Reliability</t>
        </is>
      </c>
      <c r="B3" s="7" t="n">
        <v>95</v>
      </c>
      <c r="C3" s="19" t="n">
        <v>67.70999999999999</v>
      </c>
      <c r="D3" s="7" t="inlineStr">
        <is>
          <t>Max</t>
        </is>
      </c>
      <c r="E3" s="9" t="n">
        <v>0.15</v>
      </c>
      <c r="F3" s="7">
        <f>IF(G3="","—",IF(G3&gt;=0.9,"ACHIEVE","NOT ACHIEVE"))</f>
        <v/>
      </c>
      <c r="G3" s="10">
        <f>IF(C3="","",IF(D3="Max",C3/B3,B3/C3))</f>
        <v/>
      </c>
      <c r="H3" s="10">
        <f>IF(G3="","",G3*E3)</f>
        <v/>
      </c>
    </row>
    <row r="4" ht="30" customHeight="1">
      <c r="A4" s="3" t="inlineStr">
        <is>
          <t>Cost Leadership &amp; CASK Optimization</t>
        </is>
      </c>
      <c r="B4" s="7" t="n">
        <v>98</v>
      </c>
      <c r="C4" s="19" t="n">
        <v>72</v>
      </c>
      <c r="D4" s="7" t="inlineStr">
        <is>
          <t>Max</t>
        </is>
      </c>
      <c r="E4" s="9" t="n">
        <v>0.15</v>
      </c>
      <c r="F4" s="7">
        <f>IF(G4="","—",IF(G4&gt;=0.9,"ACHIEVE","NOT ACHIEVE"))</f>
        <v/>
      </c>
      <c r="G4" s="10">
        <f>IF(C4="","",IF(D4="Max",C4/B4,B4/C4))</f>
        <v/>
      </c>
      <c r="H4" s="10">
        <f>IF(G4="","",G4*E4)</f>
        <v/>
      </c>
    </row>
    <row r="5" ht="30" customHeight="1">
      <c r="A5" s="3" t="inlineStr">
        <is>
          <t>Financial Strategy &amp; Liquidity Resilience</t>
        </is>
      </c>
      <c r="B5" s="7" t="n">
        <v>95</v>
      </c>
      <c r="C5" s="19" t="n">
        <v>69.5</v>
      </c>
      <c r="D5" s="7" t="inlineStr">
        <is>
          <t>Max</t>
        </is>
      </c>
      <c r="E5" s="9" t="n">
        <v>0.1</v>
      </c>
      <c r="F5" s="7">
        <f>IF(G5="","—",IF(G5&gt;=0.9,"ACHIEVE","NOT ACHIEVE"))</f>
        <v/>
      </c>
      <c r="G5" s="10">
        <f>IF(C5="","",IF(D5="Max",C5/B5,B5/C5))</f>
        <v/>
      </c>
      <c r="H5" s="10">
        <f>IF(G5="","",G5*E5)</f>
        <v/>
      </c>
    </row>
    <row r="6" ht="30" customHeight="1">
      <c r="A6" s="3" t="inlineStr">
        <is>
          <t>Digital Transformation &amp; SAP Integration</t>
        </is>
      </c>
      <c r="B6" s="7" t="n">
        <v>100</v>
      </c>
      <c r="C6" s="19" t="n">
        <v>67.2</v>
      </c>
      <c r="D6" s="7" t="inlineStr">
        <is>
          <t>Max</t>
        </is>
      </c>
      <c r="E6" s="9" t="n">
        <v>0.1</v>
      </c>
      <c r="F6" s="7">
        <f>IF(G6="","—",IF(G6&gt;=0.9,"ACHIEVE","NOT ACHIEVE"))</f>
        <v/>
      </c>
      <c r="G6" s="10">
        <f>IF(C6="","",IF(D6="Max",C6/B6,B6/C6))</f>
        <v/>
      </c>
      <c r="H6" s="10">
        <f>IF(G6="","",G6*E6)</f>
        <v/>
      </c>
    </row>
    <row r="7" ht="30" customHeight="1">
      <c r="A7" s="3" t="inlineStr">
        <is>
          <t>Commercial Growth &amp; Ancillary Revenue</t>
        </is>
      </c>
      <c r="B7" s="7" t="n">
        <v>95</v>
      </c>
      <c r="C7" s="19" t="n">
        <v>61.4</v>
      </c>
      <c r="D7" s="7" t="inlineStr">
        <is>
          <t>Max</t>
        </is>
      </c>
      <c r="E7" s="9" t="n">
        <v>0.1</v>
      </c>
      <c r="F7" s="7">
        <f>IF(G7="","—",IF(G7&gt;=0.9,"ACHIEVE","NOT ACHIEVE"))</f>
        <v/>
      </c>
      <c r="G7" s="10">
        <f>IF(C7="","",IF(D7="Max",C7/B7,B7/C7))</f>
        <v/>
      </c>
      <c r="H7" s="10">
        <f>IF(G7="","",G7*E7)</f>
        <v/>
      </c>
    </row>
    <row r="8" ht="30" customHeight="1">
      <c r="A8" s="3" t="inlineStr">
        <is>
          <t>Cybersecurity &amp; Data Privacy Maturity</t>
        </is>
      </c>
      <c r="B8" s="7" t="n">
        <v>98</v>
      </c>
      <c r="C8" s="19" t="n">
        <v>69.90000000000001</v>
      </c>
      <c r="D8" s="7" t="inlineStr">
        <is>
          <t>Max</t>
        </is>
      </c>
      <c r="E8" s="9" t="n">
        <v>0.075</v>
      </c>
      <c r="F8" s="7">
        <f>IF(G8="","—",IF(G8&gt;=0.9,"ACHIEVE","NOT ACHIEVE"))</f>
        <v/>
      </c>
      <c r="G8" s="10">
        <f>IF(C8="","",IF(D8="Max",C8/B8,B8/C8))</f>
        <v/>
      </c>
      <c r="H8" s="10">
        <f>IF(G8="","",G8*E8)</f>
        <v/>
      </c>
    </row>
    <row r="9" ht="30" customHeight="1">
      <c r="A9" s="3" t="inlineStr">
        <is>
          <t>Corporate Governance &amp; Legal Compliance</t>
        </is>
      </c>
      <c r="B9" s="7" t="n">
        <v>100</v>
      </c>
      <c r="C9" s="19" t="n">
        <v>78</v>
      </c>
      <c r="D9" s="7" t="inlineStr">
        <is>
          <t>Max</t>
        </is>
      </c>
      <c r="E9" s="9" t="n">
        <v>0.075</v>
      </c>
      <c r="F9" s="7">
        <f>IF(G9="","—",IF(G9&gt;=0.9,"ACHIEVE","NOT ACHIEVE"))</f>
        <v/>
      </c>
      <c r="G9" s="10">
        <f>IF(C9="","",IF(D9="Max",C9/B9,B9/C9))</f>
        <v/>
      </c>
      <c r="H9" s="10">
        <f>IF(G9="","",G9*E9)</f>
        <v/>
      </c>
    </row>
    <row r="10"/>
    <row r="11" ht="30" customHeight="1">
      <c r="A11" s="11" t="inlineStr">
        <is>
          <t xml:space="preserve">TOTAL SCORE KPI CORPORATE </t>
        </is>
      </c>
      <c r="H11" s="12">
        <f>IF(COUNTBLANK(C2:C9)&gt;0,"—",SUM(H2,H3,H4,H5,H6,H7,H8,H9))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showGridLines="0" workbookViewId="0">
      <selection activeCell="A1" sqref="A1"/>
    </sheetView>
  </sheetViews>
  <sheetFormatPr baseColWidth="8" defaultRowHeight="15"/>
  <cols>
    <col width="40" customWidth="1" min="1" max="1"/>
    <col width="20" customWidth="1" min="2" max="2"/>
  </cols>
  <sheetData>
    <row r="1" ht="40" customHeight="1">
      <c r="A1" s="13" t="inlineStr">
        <is>
          <t xml:space="preserve">Total Score KPI Corporate </t>
        </is>
      </c>
      <c r="B1" s="14">
        <f>score_kpi!H11</f>
        <v/>
      </c>
    </row>
    <row r="3">
      <c r="A3" s="15" t="inlineStr">
        <is>
          <t>🟢 HIJAU ≥ 90%</t>
        </is>
      </c>
      <c r="B3" s="16" t="inlineStr">
        <is>
          <t>Performa sesuai/melampaui target</t>
        </is>
      </c>
    </row>
    <row r="4">
      <c r="A4" s="17" t="inlineStr">
        <is>
          <t>🟡 KUNING 75-89%</t>
        </is>
      </c>
      <c r="B4" s="16" t="inlineStr">
        <is>
          <t>Performa perlu perhatian</t>
        </is>
      </c>
    </row>
    <row r="5">
      <c r="A5" s="18" t="inlineStr">
        <is>
          <t>🔴 MERAH &lt; 75%</t>
        </is>
      </c>
      <c r="B5" s="16" t="inlineStr">
        <is>
          <t>Performa kritis, intervensi diperlukan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2026-03-07T08:14:36Z</dcterms:created>
  <dcterms:modified xmlns:dcterms="http://purl.org/dc/terms/" xmlns:xsi="http://www.w3.org/2001/XMLSchema-instance" xsi:type="dcterms:W3CDTF">2026-03-09T07:12:44Z</dcterms:modified>
</cp:coreProperties>
</file>