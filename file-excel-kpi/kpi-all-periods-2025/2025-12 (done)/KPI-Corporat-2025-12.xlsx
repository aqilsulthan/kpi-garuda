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45" customWidth="1" min="8" max="8"/>
    <col width="10" customWidth="1" min="9" max="9"/>
    <col width="35" customWidth="1" min="10" max="10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Key Driver (SMART Principles)</t>
        </is>
      </c>
      <c r="I1" s="1" t="inlineStr">
        <is>
          <t>Polaritas</t>
        </is>
      </c>
      <c r="J1" s="1" t="inlineStr">
        <is>
          <t>Remarks</t>
        </is>
      </c>
    </row>
    <row r="2" ht="40" customHeight="1">
      <c r="A2" s="2" t="n">
        <v>1</v>
      </c>
      <c r="B2" s="3" t="inlineStr">
        <is>
          <t>Menjamin standar kelaikan udara dan keselamatan fisik</t>
        </is>
      </c>
      <c r="C2" s="3" t="inlineStr">
        <is>
          <t>Safety &amp; Airworthiness Excellence Index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Integritas suku cadang, kepatuhan audit hangar, dan training SMS.</t>
        </is>
      </c>
      <c r="I2" s="5" t="inlineStr">
        <is>
          <t>Max</t>
        </is>
      </c>
      <c r="J2" s="3" t="inlineStr">
        <is>
          <t>Pilar utama; kegagalan di sini adalah No-Go bagi maskapai.</t>
        </is>
      </c>
    </row>
    <row r="3" ht="40" customHeight="1">
      <c r="A3" s="2" t="n">
        <v>2</v>
      </c>
      <c r="B3" s="3" t="inlineStr">
        <is>
          <t>Mengoptimalkan keandalan jadwal penerbangan</t>
        </is>
      </c>
      <c r="C3" s="3" t="inlineStr">
        <is>
          <t>On-Time Performance (OTP) &amp; Ops Reliability</t>
        </is>
      </c>
      <c r="D3" s="2" t="n">
        <v>80</v>
      </c>
      <c r="E3" s="2" t="n">
        <v>95</v>
      </c>
      <c r="F3" s="3" t="inlineStr">
        <is>
          <t>%</t>
        </is>
      </c>
      <c r="G3" s="4" t="n">
        <v>0.15</v>
      </c>
      <c r="H3" s="3" t="inlineStr">
        <is>
          <t>Penurunan technical delay, kecepatan rekrutmen kru, dan efisiensi pengadaan.</t>
        </is>
      </c>
      <c r="I3" s="5" t="inlineStr">
        <is>
          <t>Max</t>
        </is>
      </c>
      <c r="J3" s="3" t="inlineStr">
        <is>
          <t>Mencerminkan kualitas produk inti maskapai kepada penumpang.</t>
        </is>
      </c>
    </row>
    <row r="4" ht="40" customHeight="1">
      <c r="A4" s="2" t="n">
        <v>3</v>
      </c>
      <c r="B4" s="3" t="inlineStr">
        <is>
          <t>Pengendalian biaya unit dan efisiensi sumber daya</t>
        </is>
      </c>
      <c r="C4" s="3" t="inlineStr">
        <is>
          <t>Cost Leadership &amp; CASK Optimization</t>
        </is>
      </c>
      <c r="D4" s="2" t="n">
        <v>85</v>
      </c>
      <c r="E4" s="2" t="n">
        <v>98</v>
      </c>
      <c r="F4" s="3" t="inlineStr">
        <is>
          <t>%</t>
        </is>
      </c>
      <c r="G4" s="4" t="n">
        <v>0.15</v>
      </c>
      <c r="H4" s="3" t="inlineStr">
        <is>
          <t>Efisiensi biaya maintenance, kontrol overtime SDM, dan IT cloud cost.</t>
        </is>
      </c>
      <c r="I4" s="5" t="inlineStr">
        <is>
          <t>Max</t>
        </is>
      </c>
      <c r="J4" s="3" t="inlineStr">
        <is>
          <t>Menjaga daya saing harga tiket melalui biaya operasional rendah.</t>
        </is>
      </c>
    </row>
    <row r="5" ht="40" customHeight="1">
      <c r="A5" s="2" t="n">
        <v>4</v>
      </c>
      <c r="B5" s="3" t="inlineStr">
        <is>
          <t>Menjamin ketahanan kas dan mitigasi risiko pasar</t>
        </is>
      </c>
      <c r="C5" s="3" t="inlineStr">
        <is>
          <t>Financial Strategy &amp; Liquidity Resilience</t>
        </is>
      </c>
      <c r="D5" s="2" t="n">
        <v>75</v>
      </c>
      <c r="E5" s="2" t="n">
        <v>95</v>
      </c>
      <c r="F5" s="3" t="inlineStr">
        <is>
          <t>%</t>
        </is>
      </c>
      <c r="G5" s="4" t="n">
        <v>0.1</v>
      </c>
      <c r="H5" s="3" t="inlineStr">
        <is>
          <t>Akurasi forecast cash flow, yield investasi, dan efektivitas hedging valas.</t>
        </is>
      </c>
      <c r="I5" s="5" t="inlineStr">
        <is>
          <t>Max</t>
        </is>
      </c>
      <c r="J5" s="3" t="inlineStr">
        <is>
          <t>Melindungi perusahaan dari fluktuasi harga avtur dan kurs USD.</t>
        </is>
      </c>
    </row>
    <row r="6" ht="40" customHeight="1">
      <c r="A6" s="2" t="n">
        <v>5</v>
      </c>
      <c r="B6" s="3" t="inlineStr">
        <is>
          <t>Akselerasi modernisasi sistem dan integrasi ERP</t>
        </is>
      </c>
      <c r="C6" s="3" t="inlineStr">
        <is>
          <t>Digital Transformation &amp; SAP Integration</t>
        </is>
      </c>
      <c r="D6" s="2" t="n">
        <v>40</v>
      </c>
      <c r="E6" s="2" t="n">
        <v>100</v>
      </c>
      <c r="F6" s="3" t="inlineStr">
        <is>
          <t>%</t>
        </is>
      </c>
      <c r="G6" s="4" t="n">
        <v>0.1</v>
      </c>
      <c r="H6" s="3" t="inlineStr">
        <is>
          <t>Penuntasan modul SAP (Fin/HCM), e-Logbook, dan modernisasi armada.</t>
        </is>
      </c>
      <c r="I6" s="5" t="inlineStr">
        <is>
          <t>Max</t>
        </is>
      </c>
      <c r="J6" s="3" t="inlineStr">
        <is>
          <t>Menghilangkan hambatan proses manual untuk efisiensi jangka panjang.</t>
        </is>
      </c>
    </row>
    <row r="7" ht="40" customHeight="1">
      <c r="A7" s="2" t="n">
        <v>6</v>
      </c>
      <c r="B7" s="3" t="inlineStr">
        <is>
          <t>Maksimalisasi pendapatan langsung dan ancillary</t>
        </is>
      </c>
      <c r="C7" s="3" t="inlineStr">
        <is>
          <t>Commercial Growth &amp; Ancillary Revenue</t>
        </is>
      </c>
      <c r="D7" s="2" t="n">
        <v>50</v>
      </c>
      <c r="E7" s="2" t="n">
        <v>95</v>
      </c>
      <c r="F7" s="3" t="inlineStr">
        <is>
          <t>%</t>
        </is>
      </c>
      <c r="G7" s="4" t="n">
        <v>0.1</v>
      </c>
      <c r="H7" s="3" t="inlineStr">
        <is>
          <t>Penyelesaian fitur penjualan digital, modul NDC, dan merchandising engine.</t>
        </is>
      </c>
      <c r="I7" s="5" t="inlineStr">
        <is>
          <t>Max</t>
        </is>
      </c>
      <c r="J7" s="3" t="inlineStr">
        <is>
          <t>Fokus pada pertumbuhan profitabilitas di luar tiket utama.</t>
        </is>
      </c>
    </row>
    <row r="8" ht="40" customHeight="1">
      <c r="A8" s="2" t="n">
        <v>7</v>
      </c>
      <c r="B8" s="3" t="inlineStr">
        <is>
          <t>Perlindungan aset digital dan infrastruktur kritis</t>
        </is>
      </c>
      <c r="C8" s="3" t="inlineStr">
        <is>
          <t>Cybersecurity &amp; Data Privacy Maturity</t>
        </is>
      </c>
      <c r="D8" s="2" t="n">
        <v>75</v>
      </c>
      <c r="E8" s="2" t="n">
        <v>98</v>
      </c>
      <c r="F8" s="3" t="inlineStr">
        <is>
          <t>%</t>
        </is>
      </c>
      <c r="G8" s="4" t="n">
        <v>0.075</v>
      </c>
      <c r="H8" s="3" t="inlineStr">
        <is>
          <t>Zero unauthorised access dan kelaikan disaster recovery (DRP).</t>
        </is>
      </c>
      <c r="I8" s="5" t="inlineStr">
        <is>
          <t>Max</t>
        </is>
      </c>
      <c r="J8" s="3" t="inlineStr">
        <is>
          <t>Melindungi data penumpang dan keberlangsungan sistem dari serangan siber.</t>
        </is>
      </c>
    </row>
    <row r="9" ht="40" customHeight="1">
      <c r="A9" s="2" t="n">
        <v>8</v>
      </c>
      <c r="B9" s="3" t="inlineStr">
        <is>
          <t>Menjamin tata kelola, legalitas, dan kepatuhan pajak</t>
        </is>
      </c>
      <c r="C9" s="3" t="inlineStr">
        <is>
          <t>Corporate Governance &amp; Legal Compliance</t>
        </is>
      </c>
      <c r="D9" s="2" t="n">
        <v>90</v>
      </c>
      <c r="E9" s="2" t="n">
        <v>100</v>
      </c>
      <c r="F9" s="3" t="inlineStr">
        <is>
          <t>%</t>
        </is>
      </c>
      <c r="G9" s="4" t="n">
        <v>0.075</v>
      </c>
      <c r="H9" s="3" t="inlineStr">
        <is>
          <t>Zero tax penalty, integritas audit eksternal, dan kepatuhan aturan kerja.</t>
        </is>
      </c>
      <c r="I9" s="5" t="inlineStr">
        <is>
          <t>Max</t>
        </is>
      </c>
      <c r="J9" s="3" t="inlineStr">
        <is>
          <t>Menghindari denda regulasi dan menjaga reputasi di mata investor.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Safety &amp; Airworthiness Excellence Index</t>
        </is>
      </c>
      <c r="B2" s="7" t="n">
        <v>100</v>
      </c>
      <c r="C2" s="19" t="n">
        <v>99.14</v>
      </c>
      <c r="D2" s="7" t="inlineStr">
        <is>
          <t>Max</t>
        </is>
      </c>
      <c r="E2" s="9" t="n">
        <v>0.25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On-Time Performance (OTP) &amp; Ops Reliability</t>
        </is>
      </c>
      <c r="B3" s="7" t="n">
        <v>95</v>
      </c>
      <c r="C3" s="19" t="n">
        <v>87.7</v>
      </c>
      <c r="D3" s="7" t="inlineStr">
        <is>
          <t>Max</t>
        </is>
      </c>
      <c r="E3" s="9" t="n">
        <v>0.15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Cost Leadership &amp; CASK Optimization</t>
        </is>
      </c>
      <c r="B4" s="7" t="n">
        <v>98</v>
      </c>
      <c r="C4" s="19" t="n">
        <v>92.8</v>
      </c>
      <c r="D4" s="7" t="inlineStr">
        <is>
          <t>Max</t>
        </is>
      </c>
      <c r="E4" s="9" t="n">
        <v>0.15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Financial Strategy &amp; Liquidity Resilience</t>
        </is>
      </c>
      <c r="B5" s="7" t="n">
        <v>95</v>
      </c>
      <c r="C5" s="19" t="n">
        <v>88.8</v>
      </c>
      <c r="D5" s="7" t="inlineStr">
        <is>
          <t>Max</t>
        </is>
      </c>
      <c r="E5" s="9" t="n">
        <v>0.1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Digital Transformation &amp; SAP Integration</t>
        </is>
      </c>
      <c r="B6" s="7" t="n">
        <v>100</v>
      </c>
      <c r="C6" s="19" t="n">
        <v>83.5</v>
      </c>
      <c r="D6" s="7" t="inlineStr">
        <is>
          <t>Max</t>
        </is>
      </c>
      <c r="E6" s="9" t="n">
        <v>0.1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Commercial Growth &amp; Ancillary Revenue</t>
        </is>
      </c>
      <c r="B7" s="7" t="n">
        <v>95</v>
      </c>
      <c r="C7" s="19" t="n">
        <v>77</v>
      </c>
      <c r="D7" s="7" t="inlineStr">
        <is>
          <t>Max</t>
        </is>
      </c>
      <c r="E7" s="9" t="n">
        <v>0.1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 ht="30" customHeight="1">
      <c r="A8" s="3" t="inlineStr">
        <is>
          <t>Cybersecurity &amp; Data Privacy Maturity</t>
        </is>
      </c>
      <c r="B8" s="7" t="n">
        <v>98</v>
      </c>
      <c r="C8" s="19" t="n">
        <v>86.3</v>
      </c>
      <c r="D8" s="7" t="inlineStr">
        <is>
          <t>Max</t>
        </is>
      </c>
      <c r="E8" s="9" t="n">
        <v>0.075</v>
      </c>
      <c r="F8" s="7">
        <f>IF(G8="","—",IF(G8&gt;=0.9,"ACHIEVE","NOT ACHIEVE"))</f>
        <v/>
      </c>
      <c r="G8" s="10">
        <f>IF(C8="","",IF(D8="Max",C8/B8,B8/C8))</f>
        <v/>
      </c>
      <c r="H8" s="10">
        <f>IF(G8="","",G8*E8)</f>
        <v/>
      </c>
    </row>
    <row r="9" ht="30" customHeight="1">
      <c r="A9" s="3" t="inlineStr">
        <is>
          <t>Corporate Governance &amp; Legal Compliance</t>
        </is>
      </c>
      <c r="B9" s="7" t="n">
        <v>100</v>
      </c>
      <c r="C9" s="19" t="n">
        <v>99.90000000000001</v>
      </c>
      <c r="D9" s="7" t="inlineStr">
        <is>
          <t>Max</t>
        </is>
      </c>
      <c r="E9" s="9" t="n">
        <v>0.075</v>
      </c>
      <c r="F9" s="7">
        <f>IF(G9="","—",IF(G9&gt;=0.9,"ACHIEVE","NOT ACHIEVE"))</f>
        <v/>
      </c>
      <c r="G9" s="10">
        <f>IF(C9="","",IF(D9="Max",C9/B9,B9/C9))</f>
        <v/>
      </c>
      <c r="H9" s="10">
        <f>IF(G9="","",G9*E9)</f>
        <v/>
      </c>
    </row>
    <row r="10"/>
    <row r="11" ht="30" customHeight="1">
      <c r="A11" s="11" t="inlineStr">
        <is>
          <t xml:space="preserve">TOTAL SCORE KPI CORPORATE </t>
        </is>
      </c>
      <c r="H11" s="12">
        <f>IF(COUNTBLANK(C2:C9)&gt;0,"—",SUM(H2,H3,H4,H5,H6,H7,H8,H9))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Corporate </t>
        </is>
      </c>
      <c r="B1" s="14">
        <f>score_kpi!H11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2026-03-09T07:12:50Z</dcterms:modified>
</cp:coreProperties>
</file>