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dan kecepatan pelaporan keuangan</t>
        </is>
      </c>
      <c r="C2" s="3" t="inlineStr">
        <is>
          <t>Financial Closing &amp; Reporting Cycle Time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8 Corporate Governance &amp; Legal Compliance</t>
        </is>
      </c>
      <c r="I2" s="2" t="inlineStr">
        <is>
          <t>Otomasi rekonsiliasi dan cutoff akrual yang ketat.</t>
        </is>
      </c>
      <c r="J2" s="5" t="inlineStr">
        <is>
          <t>Max</t>
        </is>
      </c>
      <c r="K2" s="3" t="inlineStr">
        <is>
          <t>Fokus pada ketepatan waktu submission laporan bulanan.</t>
        </is>
      </c>
    </row>
    <row r="3" ht="40" customHeight="1">
      <c r="A3" s="2" t="n">
        <v>2</v>
      </c>
      <c r="B3" s="3" t="inlineStr">
        <is>
          <t>Menjaga stabilitas likuiditas dan mitigasi risiko pasar</t>
        </is>
      </c>
      <c r="C3" s="3" t="inlineStr">
        <is>
          <t>Cash Flow Forecast Accuracy &amp; Liquidity Adherence</t>
        </is>
      </c>
      <c r="D3" s="2" t="n">
        <v>75</v>
      </c>
      <c r="E3" s="2" t="n">
        <v>95</v>
      </c>
      <c r="F3" s="3" t="inlineStr">
        <is>
          <t>%</t>
        </is>
      </c>
      <c r="G3" s="4" t="n">
        <v>0.2</v>
      </c>
      <c r="H3" s="3" t="inlineStr">
        <is>
          <t>No. 4 Financial Strategy &amp; Liquidity Resilience</t>
        </is>
      </c>
      <c r="I3" s="2" t="inlineStr">
        <is>
          <t>Monitoring buffer kas harian dan efektivitas hedging valas.</t>
        </is>
      </c>
      <c r="J3" s="5" t="inlineStr">
        <is>
          <t>Max</t>
        </is>
      </c>
      <c r="K3" s="3" t="inlineStr">
        <is>
          <t>Krusial untuk maskapai dengan biaya avtur dalam USD.</t>
        </is>
      </c>
    </row>
    <row r="4" ht="40" customHeight="1">
      <c r="A4" s="2" t="n">
        <v>3</v>
      </c>
      <c r="B4" s="3" t="inlineStr">
        <is>
          <t>Pengendalian pengeluaran operasional perusahaan</t>
        </is>
      </c>
      <c r="C4" s="3" t="inlineStr">
        <is>
          <t>OpEx Variance Control &amp; Compliance</t>
        </is>
      </c>
      <c r="D4" s="2" t="n">
        <v>80</v>
      </c>
      <c r="E4" s="2" t="n">
        <v>95</v>
      </c>
      <c r="F4" s="3" t="inlineStr">
        <is>
          <t>%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Efisiensi Operasional (CASK) Audit Maverick Spend dan akurasi FAR (Fixed Asset).</t>
        </is>
      </c>
      <c r="J4" s="5" t="inlineStr">
        <is>
          <t>Max</t>
        </is>
      </c>
      <c r="K4" s="3" t="inlineStr">
        <is>
          <t>Memastikan biaya sesuai budget dan kontrak resmi.</t>
        </is>
      </c>
    </row>
    <row r="5" ht="40" customHeight="1">
      <c r="A5" s="2" t="n">
        <v>4</v>
      </c>
      <c r="B5" s="3" t="inlineStr">
        <is>
          <t>Mempertahankan integritas data dan kepatuhan audit</t>
        </is>
      </c>
      <c r="C5" s="3" t="inlineStr">
        <is>
          <t>External Audit Integrity Score</t>
        </is>
      </c>
      <c r="D5" s="2" t="n">
        <v>8</v>
      </c>
      <c r="E5" s="2" t="n">
        <v>2</v>
      </c>
      <c r="F5" s="3" t="inlineStr">
        <is>
          <t>Findings</t>
        </is>
      </c>
      <c r="G5" s="4" t="n">
        <v>0.1</v>
      </c>
      <c r="H5" s="3" t="inlineStr">
        <is>
          <t>No. 8 Corporate Governance &amp; Legal Compliance</t>
        </is>
      </c>
      <c r="I5" s="2" t="inlineStr">
        <is>
          <t>Penguatan kontrol internal (ICFR) dan rekonsiliasi harian.</t>
        </is>
      </c>
      <c r="J5" s="6" t="inlineStr">
        <is>
          <t>Min</t>
        </is>
      </c>
      <c r="K5" s="3" t="inlineStr">
        <is>
          <t>Meminimalisir temuan audit material (Unqualified Opinion).</t>
        </is>
      </c>
    </row>
    <row r="6" ht="40" customHeight="1">
      <c r="A6" s="2" t="n">
        <v>5</v>
      </c>
      <c r="B6" s="3" t="inlineStr">
        <is>
          <t>Mendukung ketepatan waktu operasional maskapai</t>
        </is>
      </c>
      <c r="C6" s="3" t="inlineStr">
        <is>
          <t>Procurement Lead Time &amp; Support Efficiency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0.1</v>
      </c>
      <c r="H6" s="3" t="inlineStr">
        <is>
          <t>No. 2 On-Time Performance (OTP) &amp; Ops Reliability</t>
        </is>
      </c>
      <c r="I6" s="2" t="inlineStr">
        <is>
          <t>Otomasi alur PO dan standarisasi RFQ.</t>
        </is>
      </c>
      <c r="J6" s="6" t="inlineStr">
        <is>
          <t>Min</t>
        </is>
      </c>
      <c r="K6" s="3" t="inlineStr">
        <is>
          <t>Kecepatan pengadaan mendukung ketersediaan suku cadang.</t>
        </is>
      </c>
    </row>
    <row r="7" ht="40" customHeight="1">
      <c r="A7" s="2" t="n">
        <v>6</v>
      </c>
      <c r="B7" s="3" t="inlineStr">
        <is>
          <t>Akselerasi digitalisasi dan modernisasi finansial</t>
        </is>
      </c>
      <c r="C7" s="3" t="inlineStr">
        <is>
          <t>SAP Financial &amp; E-Procurement Maturity Rate</t>
        </is>
      </c>
      <c r="D7" s="2" t="n">
        <v>60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5 Digital Transformation &amp; SAP Integration</t>
        </is>
      </c>
      <c r="I7" s="2" t="inlineStr">
        <is>
          <t>Migrasi tender digital dan integrasi end-to-end ke SAP.</t>
        </is>
      </c>
      <c r="J7" s="5" t="inlineStr">
        <is>
          <t>Max</t>
        </is>
      </c>
      <c r="K7" s="3" t="inlineStr">
        <is>
          <t>Menghilangkan proses manual dan meningkatkan transparansi.</t>
        </is>
      </c>
    </row>
    <row r="8" ht="40" customHeight="1">
      <c r="A8" s="2" t="n">
        <v>7</v>
      </c>
      <c r="B8" s="3" t="inlineStr">
        <is>
          <t>Menjamin kepatuhan regulasi perpajakan global</t>
        </is>
      </c>
      <c r="C8" s="3" t="inlineStr">
        <is>
          <t>Tax Compliance &amp; Accuracy Rate</t>
        </is>
      </c>
      <c r="D8" s="2" t="n">
        <v>5</v>
      </c>
      <c r="E8" s="2" t="n">
        <v>0</v>
      </c>
      <c r="F8" s="3" t="inlineStr">
        <is>
          <t>Case</t>
        </is>
      </c>
      <c r="G8" s="4" t="n">
        <v>0.1</v>
      </c>
      <c r="H8" s="3" t="inlineStr">
        <is>
          <t>No. 8 Corporate Governance &amp; Legal Compliance</t>
        </is>
      </c>
      <c r="I8" s="2" t="inlineStr">
        <is>
          <t>Sinkronisasi database tiket dengan pelaporan pajak.</t>
        </is>
      </c>
      <c r="J8" s="6" t="inlineStr">
        <is>
          <t>Min</t>
        </is>
      </c>
      <c r="K8" s="3" t="inlineStr">
        <is>
          <t>Menghindari denda pajak yang tidak memberi nilai tambah.</t>
        </is>
      </c>
    </row>
    <row r="9" ht="40" customHeight="1">
      <c r="A9" s="2" t="n">
        <v>8</v>
      </c>
      <c r="B9" s="3" t="inlineStr">
        <is>
          <t>Maksimalisasi efisiensi biaya dan imbal hasil</t>
        </is>
      </c>
      <c r="C9" s="3" t="inlineStr">
        <is>
          <t>Total Cost Savings &amp; Investment Yield</t>
        </is>
      </c>
      <c r="D9" s="2" t="n">
        <v>5</v>
      </c>
      <c r="E9" s="2" t="n">
        <v>10</v>
      </c>
      <c r="F9" s="3" t="inlineStr">
        <is>
          <t>%</t>
        </is>
      </c>
      <c r="G9" s="4" t="n">
        <v>0.1</v>
      </c>
      <c r="H9" s="3" t="inlineStr">
        <is>
          <t>No. 4 Financial Strategy &amp; Liquidity Resilience</t>
        </is>
      </c>
      <c r="I9" s="2" t="inlineStr">
        <is>
          <t>Negosiasi kontrak payung dan optimasi yield idle cash.</t>
        </is>
      </c>
      <c r="J9" s="5" t="inlineStr">
        <is>
          <t>Max</t>
        </is>
      </c>
      <c r="K9" s="3" t="inlineStr">
        <is>
          <t>Penghematan strategis dan pendapatan bunga investasi.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Financial Closing &amp; Reporting Cycle Time</t>
        </is>
      </c>
      <c r="B2" s="8" t="n">
        <v>100</v>
      </c>
      <c r="C2" s="20" t="n">
        <v>99.5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Cash Flow Forecast Accuracy &amp; Liquidity Adherence</t>
        </is>
      </c>
      <c r="B3" s="8" t="n">
        <v>95</v>
      </c>
      <c r="C3" s="20" t="n">
        <v>73.36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OpEx Variance Control &amp; Compliance</t>
        </is>
      </c>
      <c r="B4" s="8" t="n">
        <v>95</v>
      </c>
      <c r="C4" s="20" t="n">
        <v>78.40000000000001</v>
      </c>
      <c r="D4" s="8" t="inlineStr">
        <is>
          <t>Max</t>
        </is>
      </c>
      <c r="E4" s="10" t="n">
        <v>0.15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External Audit Integrity Score</t>
        </is>
      </c>
      <c r="B5" s="8" t="n">
        <v>2</v>
      </c>
      <c r="C5" s="20" t="n">
        <v>5</v>
      </c>
      <c r="D5" s="8" t="inlineStr">
        <is>
          <t>Min</t>
        </is>
      </c>
      <c r="E5" s="10" t="n">
        <v>0.1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Procurement Lead Time &amp; Support Efficiency</t>
        </is>
      </c>
      <c r="B6" s="8" t="n">
        <v>10</v>
      </c>
      <c r="C6" s="20" t="n">
        <v>11.9</v>
      </c>
      <c r="D6" s="8" t="inlineStr">
        <is>
          <t>Min</t>
        </is>
      </c>
      <c r="E6" s="10" t="n">
        <v>0.1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SAP Financial &amp; E-Procurement Maturity Rate</t>
        </is>
      </c>
      <c r="B7" s="8" t="n">
        <v>100</v>
      </c>
      <c r="C7" s="20" t="n">
        <v>73.2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Tax Compliance &amp; Accuracy Rate</t>
        </is>
      </c>
      <c r="B8" s="8" t="n">
        <v>0</v>
      </c>
      <c r="C8" s="20" t="n">
        <v>1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IF(C8="","",IF(B8=0,IF(C8=0,1,0),IF(D8="Max",C8/B8,B8/C8)))</f>
        <v/>
      </c>
      <c r="H8" s="11">
        <f>IF(G8="","",G8*E8)</f>
        <v/>
      </c>
    </row>
    <row r="9" ht="30" customHeight="1">
      <c r="A9" s="3" t="inlineStr">
        <is>
          <t>Total Cost Savings &amp; Investment Yield</t>
        </is>
      </c>
      <c r="B9" s="8" t="n">
        <v>10</v>
      </c>
      <c r="C9" s="20" t="n">
        <v>7.1</v>
      </c>
      <c r="D9" s="8" t="inlineStr">
        <is>
          <t>Max</t>
        </is>
      </c>
      <c r="E9" s="10" t="n">
        <v>0.1</v>
      </c>
      <c r="F9" s="8">
        <f>IF(G9="","—",IF(G9&gt;=0.9,"ACHIEVE","NOT ACHIEVE"))</f>
        <v/>
      </c>
      <c r="G9" s="11">
        <f>IF(C9="","",IF(D9="Max",C9/B9,B9/C9))</f>
        <v/>
      </c>
      <c r="H9" s="11">
        <f>IF(G9="","",G9*E9)</f>
        <v/>
      </c>
    </row>
    <row r="10"/>
    <row r="11" ht="30" customHeight="1">
      <c r="A11" s="12" t="inlineStr">
        <is>
          <t xml:space="preserve">TOTAL SCORE KPI FINANCE </t>
        </is>
      </c>
      <c r="H11" s="13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Finance </t>
        </is>
      </c>
      <c r="B1" s="15">
        <f>score_kpi!H11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