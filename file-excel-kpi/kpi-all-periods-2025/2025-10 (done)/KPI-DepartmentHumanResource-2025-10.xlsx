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" sheetId="1" state="visible" r:id="rId1"/>
    <sheet xmlns:r="http://schemas.openxmlformats.org/officeDocument/2006/relationships" name="score_kpi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A7A4A"/>
      <sz val="10"/>
    </font>
    <font>
      <name val="Arial"/>
      <b val="1"/>
      <color rgb="00B7770D"/>
      <sz val="10"/>
    </font>
    <font>
      <name val="Arial"/>
      <b val="1"/>
      <sz val="10"/>
    </font>
    <font>
      <name val="Arial"/>
      <b val="1"/>
      <color rgb="001E3A5F"/>
      <sz val="11"/>
    </font>
    <font>
      <name val="Arial"/>
      <b val="1"/>
      <color rgb="001E3A5F"/>
      <sz val="12"/>
    </font>
    <font>
      <name val="Arial"/>
      <b val="1"/>
      <color rgb="00FFFFFF"/>
      <sz val="12"/>
    </font>
    <font>
      <name val="Arial"/>
      <b val="1"/>
      <color rgb="001E3A5F"/>
      <sz val="14"/>
    </font>
    <font>
      <name val="Arial"/>
      <b val="1"/>
      <color rgb="00C0392B"/>
      <sz val="10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1A7A4A"/>
      </patternFill>
    </fill>
    <fill>
      <patternFill patternType="solid">
        <fgColor rgb="00EAF2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9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9" fontId="2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0" fontId="6" fillId="4" borderId="1" pivotButton="0" quotePrefix="0" xfId="0"/>
    <xf numFmtId="164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 vertical="center"/>
    </xf>
    <xf numFmtId="164" fontId="9" fillId="4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10" fillId="0" borderId="0" pivotButton="0" quotePrefix="0" xfId="0"/>
    <xf numFmtId="0" fontId="1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35" customWidth="1" min="3" max="3"/>
    <col width="10" customWidth="1" min="4" max="4"/>
    <col width="10" customWidth="1" min="5" max="5"/>
    <col width="12" customWidth="1" min="6" max="6"/>
    <col width="10" customWidth="1" min="7" max="7"/>
    <col width="35" customWidth="1" min="8" max="8"/>
    <col width="45" customWidth="1" min="9" max="9"/>
    <col width="10" customWidth="1" min="10" max="10"/>
    <col width="35" customWidth="1" min="11" max="11"/>
  </cols>
  <sheetData>
    <row r="1" ht="35" customHeight="1">
      <c r="A1" s="1" t="inlineStr">
        <is>
          <t>No.</t>
        </is>
      </c>
      <c r="B1" s="1" t="inlineStr">
        <is>
          <t>Objective Sentence</t>
        </is>
      </c>
      <c r="C1" s="1" t="inlineStr">
        <is>
          <t>Action Verb/KPI</t>
        </is>
      </c>
      <c r="D1" s="1" t="inlineStr">
        <is>
          <t>From (2024)</t>
        </is>
      </c>
      <c r="E1" s="1" t="inlineStr">
        <is>
          <t>To (2025)</t>
        </is>
      </c>
      <c r="F1" s="1" t="inlineStr">
        <is>
          <t>Parameters</t>
        </is>
      </c>
      <c r="G1" s="1" t="inlineStr">
        <is>
          <t>Bobot (%)</t>
        </is>
      </c>
      <c r="H1" s="1" t="inlineStr">
        <is>
          <t>Cascaded from Direksi</t>
        </is>
      </c>
      <c r="I1" s="1" t="inlineStr">
        <is>
          <t>Key Driver (SMART Principles)</t>
        </is>
      </c>
      <c r="J1" s="1" t="inlineStr">
        <is>
          <t>Polaritas</t>
        </is>
      </c>
      <c r="K1" s="1" t="inlineStr">
        <is>
          <t>Remarks</t>
        </is>
      </c>
    </row>
    <row r="2" ht="40" customHeight="1">
      <c r="A2" s="2" t="n">
        <v>1</v>
      </c>
      <c r="B2" s="3" t="inlineStr">
        <is>
          <t>Transformasi digital dan kesiapan sistem personil</t>
        </is>
      </c>
      <c r="C2" s="3" t="inlineStr">
        <is>
          <t>Digital HR Maturity &amp; SAP HCM Readiness</t>
        </is>
      </c>
      <c r="D2" s="2" t="n">
        <v>30</v>
      </c>
      <c r="E2" s="2" t="n">
        <v>100</v>
      </c>
      <c r="F2" s="3" t="inlineStr">
        <is>
          <t>%</t>
        </is>
      </c>
      <c r="G2" s="4" t="n">
        <v>0.15</v>
      </c>
      <c r="H2" s="3" t="inlineStr">
        <is>
          <t>No. 5 Digital Transformation &amp; SAP Integration</t>
        </is>
      </c>
      <c r="I2" s="2" t="inlineStr">
        <is>
          <t>Migrasi data ATS, integrasi payroll real-time, dan sertifikasi user SAP.</t>
        </is>
      </c>
      <c r="J2" s="5" t="inlineStr">
        <is>
          <t>Max</t>
        </is>
      </c>
      <c r="K2" s="3" t="inlineStr">
        <is>
          <t>Menjamin ekosistem teknologi SDM terintegrasi penuh.</t>
        </is>
      </c>
    </row>
    <row r="3" ht="40" customHeight="1">
      <c r="A3" s="2" t="n">
        <v>2</v>
      </c>
      <c r="B3" s="3" t="inlineStr">
        <is>
          <t>Memastikan ketersediaan kru dan staf operasional</t>
        </is>
      </c>
      <c r="C3" s="3" t="inlineStr">
        <is>
          <t>Talent Acquisition Velocity (Time-to-Fill)</t>
        </is>
      </c>
      <c r="D3" s="2" t="n">
        <v>60</v>
      </c>
      <c r="E3" s="2" t="n">
        <v>45</v>
      </c>
      <c r="F3" s="3" t="inlineStr">
        <is>
          <t>Hari</t>
        </is>
      </c>
      <c r="G3" s="4" t="n">
        <v>0.15</v>
      </c>
      <c r="H3" s="3" t="inlineStr">
        <is>
          <t>No. 2 On-Time Performance (OTP) &amp; Ops Reliability</t>
        </is>
      </c>
      <c r="I3" s="2" t="inlineStr">
        <is>
          <t>Implementasi AI Screening dan penguatan Cadet Program.</t>
        </is>
      </c>
      <c r="J3" s="6" t="inlineStr">
        <is>
          <t>Min</t>
        </is>
      </c>
      <c r="K3" s="3" t="inlineStr">
        <is>
          <t>Percepatan pengisian posisi kritis (Pilot/Teknisi) untuk menjaga jadwal terbang.</t>
        </is>
      </c>
    </row>
    <row r="4" ht="40" customHeight="1">
      <c r="A4" s="2" t="n">
        <v>3</v>
      </c>
      <c r="B4" s="3" t="inlineStr">
        <is>
          <t>Menjamin standar keselamatan dan kualitas layanan</t>
        </is>
      </c>
      <c r="C4" s="3" t="inlineStr">
        <is>
          <t>Safety Compliance &amp; Service Training Index</t>
        </is>
      </c>
      <c r="D4" s="2" t="n">
        <v>85</v>
      </c>
      <c r="E4" s="2" t="n">
        <v>100</v>
      </c>
      <c r="F4" s="3" t="inlineStr">
        <is>
          <t>%</t>
        </is>
      </c>
      <c r="G4" s="4" t="n">
        <v>0.2</v>
      </c>
      <c r="H4" s="3" t="inlineStr">
        <is>
          <t>No. 1 Safety &amp; Airworthiness Excellence Index</t>
        </is>
      </c>
      <c r="I4" s="2" t="inlineStr">
        <is>
          <t>Penyelesaian training regulatori (SMS) dan Service Excellence.</t>
        </is>
      </c>
      <c r="J4" s="5" t="inlineStr">
        <is>
          <t>Max</t>
        </is>
      </c>
      <c r="K4" s="3" t="inlineStr">
        <is>
          <t>Kepatuhan mutlak pada regulasi aviasi dan standar layanan bintang 5.</t>
        </is>
      </c>
    </row>
    <row r="5" ht="40" customHeight="1">
      <c r="A5" s="2" t="n">
        <v>4</v>
      </c>
      <c r="B5" s="3" t="inlineStr">
        <is>
          <t>Optimalisasi produktivitas dan kesiapan kerja</t>
        </is>
      </c>
      <c r="C5" s="3" t="inlineStr">
        <is>
          <t>Workforce Productivity &amp; Onboarding Speed</t>
        </is>
      </c>
      <c r="D5" s="2" t="n">
        <v>70</v>
      </c>
      <c r="E5" s="2" t="n">
        <v>90</v>
      </c>
      <c r="F5" s="3" t="inlineStr">
        <is>
          <t>%</t>
        </is>
      </c>
      <c r="G5" s="4" t="n">
        <v>0.15</v>
      </c>
      <c r="H5" s="3" t="inlineStr">
        <is>
          <t>No. 2 On-Time Performance (OTP) &amp; Ops Reliability</t>
        </is>
      </c>
      <c r="I5" s="2" t="inlineStr">
        <is>
          <t>Penurunan time-to-productivity dan ketepatan disbursement gaji.</t>
        </is>
      </c>
      <c r="J5" s="5" t="inlineStr">
        <is>
          <t>Max</t>
        </is>
      </c>
      <c r="K5" s="3" t="inlineStr">
        <is>
          <t>Memastikan karyawan baru segera siap berkontribusi secara efektif.</t>
        </is>
      </c>
    </row>
    <row r="6" ht="40" customHeight="1">
      <c r="A6" s="2" t="n">
        <v>5</v>
      </c>
      <c r="B6" s="3" t="inlineStr">
        <is>
          <t>Meningkatkan retensi dan kepuasan karyawan</t>
        </is>
      </c>
      <c r="C6" s="3" t="inlineStr">
        <is>
          <t>Retention Rate &amp; Employee Satisfaction Index</t>
        </is>
      </c>
      <c r="D6" s="2" t="n">
        <v>70</v>
      </c>
      <c r="E6" s="2" t="n">
        <v>90</v>
      </c>
      <c r="F6" s="3" t="inlineStr">
        <is>
          <t>%</t>
        </is>
      </c>
      <c r="G6" s="4" t="n">
        <v>0.15</v>
      </c>
      <c r="H6" s="3" t="inlineStr">
        <is>
          <t>No. 3 Cost Leadership &amp; CASK Optimization</t>
        </is>
      </c>
      <c r="I6" s="2" t="inlineStr">
        <is>
          <t>Optimalisasi benefit fleksibel dan peningkatan Candidate Experience.</t>
        </is>
      </c>
      <c r="J6" s="5" t="inlineStr">
        <is>
          <t>Max</t>
        </is>
      </c>
      <c r="K6" s="3" t="inlineStr">
        <is>
          <t>Fokus pada loyalitas talenta terbaik melalui EVP yang kuat.</t>
        </is>
      </c>
    </row>
    <row r="7" ht="40" customHeight="1">
      <c r="A7" s="2" t="n">
        <v>6</v>
      </c>
      <c r="B7" s="3" t="inlineStr">
        <is>
          <t>Menjamin kepatuhan regulasi dan audit personil</t>
        </is>
      </c>
      <c r="C7" s="3" t="inlineStr">
        <is>
          <t>Statutory Compliance &amp; Audit Integrity</t>
        </is>
      </c>
      <c r="D7" s="2" t="n">
        <v>96</v>
      </c>
      <c r="E7" s="2" t="n">
        <v>100</v>
      </c>
      <c r="F7" s="3" t="inlineStr">
        <is>
          <t>%</t>
        </is>
      </c>
      <c r="G7" s="4" t="n">
        <v>0.1</v>
      </c>
      <c r="H7" s="3" t="inlineStr">
        <is>
          <t>No. 8 Corporate Governance &amp; Legal Compliance</t>
        </is>
      </c>
      <c r="I7" s="2" t="inlineStr">
        <is>
          <t>Otomasi pelaporan pajak dan iuran sosial serta zero audit finding.</t>
        </is>
      </c>
      <c r="J7" s="5" t="inlineStr">
        <is>
          <t>Max</t>
        </is>
      </c>
      <c r="K7" s="3" t="inlineStr">
        <is>
          <t>Mitigasi risiko hukum dan denda ketenagakerjaan.</t>
        </is>
      </c>
    </row>
    <row r="8" ht="40" customHeight="1">
      <c r="A8" s="2" t="n">
        <v>7</v>
      </c>
      <c r="B8" s="3" t="inlineStr">
        <is>
          <t>Efisiensi biaya tenaga kerja dan pengembangan</t>
        </is>
      </c>
      <c r="C8" s="3" t="inlineStr">
        <is>
          <t>Human Capital Cost Efficiency (CASK Support)</t>
        </is>
      </c>
      <c r="D8" s="2" t="n">
        <v>10</v>
      </c>
      <c r="E8" s="2" t="n">
        <v>3</v>
      </c>
      <c r="F8" s="3" t="inlineStr">
        <is>
          <t>% (Deviasi)</t>
        </is>
      </c>
      <c r="G8" s="4" t="n">
        <v>0.1</v>
      </c>
      <c r="H8" s="3" t="inlineStr">
        <is>
          <t>No. 3 Cost Leadership &amp; CASK Optimization</t>
        </is>
      </c>
      <c r="I8" s="2" t="inlineStr">
        <is>
          <t>Kontrol overtime, efisiensi cost per hire, dan training cost.</t>
        </is>
      </c>
      <c r="J8" s="6" t="inlineStr">
        <is>
          <t>Min</t>
        </is>
      </c>
      <c r="K8" s="3" t="inlineStr">
        <is>
          <t>Mendukung target biaya unit maskapai melalui manajemen budget SDM.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0" customWidth="1" min="4" max="4"/>
    <col width="10" customWidth="1" min="5" max="5"/>
    <col width="14" customWidth="1" min="6" max="6"/>
    <col width="12" customWidth="1" min="7" max="7"/>
    <col width="12" customWidth="1" min="8" max="8"/>
  </cols>
  <sheetData>
    <row r="1" ht="35" customHeight="1">
      <c r="A1" s="7" t="inlineStr">
        <is>
          <t>Action Verb/KPI</t>
        </is>
      </c>
      <c r="B1" s="7" t="inlineStr">
        <is>
          <t>Target</t>
        </is>
      </c>
      <c r="C1" s="7" t="inlineStr">
        <is>
          <t>YTD Actual</t>
        </is>
      </c>
      <c r="D1" s="7" t="inlineStr">
        <is>
          <t>Polaritas</t>
        </is>
      </c>
      <c r="E1" s="7" t="inlineStr">
        <is>
          <t>Bobot</t>
        </is>
      </c>
      <c r="F1" s="7" t="inlineStr">
        <is>
          <t>Status</t>
        </is>
      </c>
      <c r="G1" s="7" t="inlineStr">
        <is>
          <t>Ach. Rate</t>
        </is>
      </c>
      <c r="H1" s="7" t="inlineStr">
        <is>
          <t>Score</t>
        </is>
      </c>
    </row>
    <row r="2" ht="30" customHeight="1">
      <c r="A2" s="3" t="inlineStr">
        <is>
          <t>Digital HR Maturity &amp; SAP HCM Readiness</t>
        </is>
      </c>
      <c r="B2" s="8" t="n">
        <v>100</v>
      </c>
      <c r="C2" s="20" t="n">
        <v>100</v>
      </c>
      <c r="D2" s="8" t="inlineStr">
        <is>
          <t>Max</t>
        </is>
      </c>
      <c r="E2" s="10" t="n">
        <v>0.15</v>
      </c>
      <c r="F2" s="8">
        <f>IF(G2="","—",IF(G2&gt;=0.9,"ACHIEVE","NOT ACHIEVE"))</f>
        <v/>
      </c>
      <c r="G2" s="11">
        <f>IF(C2="","",IF(D2="Max",C2/B2,B2/C2))</f>
        <v/>
      </c>
      <c r="H2" s="11">
        <f>IF(G2="","",G2*E2)</f>
        <v/>
      </c>
    </row>
    <row r="3" ht="30" customHeight="1">
      <c r="A3" s="3" t="inlineStr">
        <is>
          <t>Talent Acquisition Velocity (Time-to-Fill)</t>
        </is>
      </c>
      <c r="B3" s="8" t="n">
        <v>45</v>
      </c>
      <c r="C3" s="20" t="n">
        <v>42.3</v>
      </c>
      <c r="D3" s="8" t="inlineStr">
        <is>
          <t>Min</t>
        </is>
      </c>
      <c r="E3" s="10" t="n">
        <v>0.15</v>
      </c>
      <c r="F3" s="8">
        <f>IF(G3="","—",IF(G3&gt;=0.9,"ACHIEVE","NOT ACHIEVE"))</f>
        <v/>
      </c>
      <c r="G3" s="11">
        <f>IF(C3="","",IF(D3="Max",C3/B3,B3/C3))</f>
        <v/>
      </c>
      <c r="H3" s="11">
        <f>IF(G3="","",G3*E3)</f>
        <v/>
      </c>
    </row>
    <row r="4" ht="30" customHeight="1">
      <c r="A4" s="3" t="inlineStr">
        <is>
          <t>Safety Compliance &amp; Service Training Index</t>
        </is>
      </c>
      <c r="B4" s="8" t="n">
        <v>100</v>
      </c>
      <c r="C4" s="20" t="n">
        <v>100</v>
      </c>
      <c r="D4" s="8" t="inlineStr">
        <is>
          <t>Max</t>
        </is>
      </c>
      <c r="E4" s="10" t="n">
        <v>0.2</v>
      </c>
      <c r="F4" s="8">
        <f>IF(G4="","—",IF(G4&gt;=0.9,"ACHIEVE","NOT ACHIEVE"))</f>
        <v/>
      </c>
      <c r="G4" s="11">
        <f>IF(C4="","",IF(D4="Max",C4/B4,B4/C4))</f>
        <v/>
      </c>
      <c r="H4" s="11">
        <f>IF(G4="","",G4*E4)</f>
        <v/>
      </c>
    </row>
    <row r="5" ht="30" customHeight="1">
      <c r="A5" s="3" t="inlineStr">
        <is>
          <t>Workforce Productivity &amp; Onboarding Speed</t>
        </is>
      </c>
      <c r="B5" s="8" t="n">
        <v>90</v>
      </c>
      <c r="C5" s="20" t="n">
        <v>85</v>
      </c>
      <c r="D5" s="8" t="inlineStr">
        <is>
          <t>Max</t>
        </is>
      </c>
      <c r="E5" s="10" t="n">
        <v>0.15</v>
      </c>
      <c r="F5" s="8">
        <f>IF(G5="","—",IF(G5&gt;=0.9,"ACHIEVE","NOT ACHIEVE"))</f>
        <v/>
      </c>
      <c r="G5" s="11">
        <f>IF(C5="","",IF(D5="Max",C5/B5,B5/C5))</f>
        <v/>
      </c>
      <c r="H5" s="11">
        <f>IF(G5="","",G5*E5)</f>
        <v/>
      </c>
    </row>
    <row r="6" ht="30" customHeight="1">
      <c r="A6" s="3" t="inlineStr">
        <is>
          <t>Retention Rate &amp; Employee Satisfaction Index</t>
        </is>
      </c>
      <c r="B6" s="8" t="n">
        <v>90</v>
      </c>
      <c r="C6" s="20" t="n">
        <v>84.09999999999999</v>
      </c>
      <c r="D6" s="8" t="inlineStr">
        <is>
          <t>Max</t>
        </is>
      </c>
      <c r="E6" s="10" t="n">
        <v>0.15</v>
      </c>
      <c r="F6" s="8">
        <f>IF(G6="","—",IF(G6&gt;=0.9,"ACHIEVE","NOT ACHIEVE"))</f>
        <v/>
      </c>
      <c r="G6" s="11">
        <f>IF(C6="","",IF(D6="Max",C6/B6,B6/C6))</f>
        <v/>
      </c>
      <c r="H6" s="11">
        <f>IF(G6="","",G6*E6)</f>
        <v/>
      </c>
    </row>
    <row r="7" ht="30" customHeight="1">
      <c r="A7" s="3" t="inlineStr">
        <is>
          <t>Statutory Compliance &amp; Audit Integrity</t>
        </is>
      </c>
      <c r="B7" s="8" t="n">
        <v>100</v>
      </c>
      <c r="C7" s="20" t="n">
        <v>100</v>
      </c>
      <c r="D7" s="8" t="inlineStr">
        <is>
          <t>Max</t>
        </is>
      </c>
      <c r="E7" s="10" t="n">
        <v>0.1</v>
      </c>
      <c r="F7" s="8">
        <f>IF(G7="","—",IF(G7&gt;=0.9,"ACHIEVE","NOT ACHIEVE"))</f>
        <v/>
      </c>
      <c r="G7" s="11">
        <f>IF(C7="","",IF(D7="Max",C7/B7,B7/C7))</f>
        <v/>
      </c>
      <c r="H7" s="11">
        <f>IF(G7="","",G7*E7)</f>
        <v/>
      </c>
    </row>
    <row r="8" ht="30" customHeight="1">
      <c r="A8" s="3" t="inlineStr">
        <is>
          <t>Human Capital Cost Efficiency (CASK Support)</t>
        </is>
      </c>
      <c r="B8" s="8" t="n">
        <v>3</v>
      </c>
      <c r="C8" s="20" t="n">
        <v>3.9</v>
      </c>
      <c r="D8" s="8" t="inlineStr">
        <is>
          <t>Min</t>
        </is>
      </c>
      <c r="E8" s="10" t="n">
        <v>0.1</v>
      </c>
      <c r="F8" s="8">
        <f>IF(G8="","—",IF(G8&gt;=0.9,"ACHIEVE","NOT ACHIEVE"))</f>
        <v/>
      </c>
      <c r="G8" s="11">
        <f>IF(C8="","",IF(D8="Max",C8/B8,B8/C8))</f>
        <v/>
      </c>
      <c r="H8" s="11">
        <f>IF(G8="","",G8*E8)</f>
        <v/>
      </c>
    </row>
    <row r="9"/>
    <row r="10" ht="30" customHeight="1">
      <c r="A10" s="12" t="inlineStr">
        <is>
          <t xml:space="preserve">TOTAL SCORE KPI HUMAN RESOURCE </t>
        </is>
      </c>
      <c r="H10" s="13">
        <f>IF(COUNTBLANK(C2:C8)&gt;0,"—",SUM(H2,H3,H4,H5,H6,H7,H8))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 ht="40" customHeight="1">
      <c r="A1" s="14" t="inlineStr">
        <is>
          <t xml:space="preserve">Total Score KPI Human Resource </t>
        </is>
      </c>
      <c r="B1" s="15">
        <f>score_kpi!H10</f>
        <v/>
      </c>
    </row>
    <row r="3">
      <c r="A3" s="16" t="inlineStr">
        <is>
          <t>🟢 HIJAU ≥ 90%</t>
        </is>
      </c>
      <c r="B3" s="17" t="inlineStr">
        <is>
          <t>Performa sesuai/melampaui target</t>
        </is>
      </c>
    </row>
    <row r="4">
      <c r="A4" s="18" t="inlineStr">
        <is>
          <t>🟡 KUNING 75-89%</t>
        </is>
      </c>
      <c r="B4" s="17" t="inlineStr">
        <is>
          <t>Performa perlu perhatian</t>
        </is>
      </c>
    </row>
    <row r="5">
      <c r="A5" s="19" t="inlineStr">
        <is>
          <t>🔴 MERAH &lt; 75%</t>
        </is>
      </c>
      <c r="B5" s="17" t="inlineStr">
        <is>
          <t>Performa kritis, intervensi diperlukan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2026-03-07T08:14:36Z</dcterms:created>
  <dcterms:modified xmlns:dcterms="http://purl.org/dc/terms/" xmlns:xsi="http://www.w3.org/2001/XMLSchema-instance" xsi:type="dcterms:W3CDTF">2026-03-09T07:13:15Z</dcterms:modified>
</cp:coreProperties>
</file>