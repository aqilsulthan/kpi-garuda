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B7770D"/>
      <sz val="10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4" borderId="1" pivotButton="0" quotePrefix="0" xfId="0"/>
    <xf numFmtId="164" fontId="6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164" fontId="8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Direksi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keandalan infrastruktur dan pemulihan bencana</t>
        </is>
      </c>
      <c r="C2" s="3" t="inlineStr">
        <is>
          <t>Infrastructure Availability &amp; DR Readiness</t>
        </is>
      </c>
      <c r="D2" s="2" t="n">
        <v>99.7</v>
      </c>
      <c r="E2" s="2" t="n">
        <v>99.98999999999999</v>
      </c>
      <c r="F2" s="3" t="inlineStr">
        <is>
          <t>%</t>
        </is>
      </c>
      <c r="G2" s="4" t="n">
        <v>0.2</v>
      </c>
      <c r="H2" s="3" t="inlineStr">
        <is>
          <t>No. 7 Cybersecurity &amp; Data Privacy Maturity</t>
        </is>
      </c>
      <c r="I2" s="2" t="inlineStr">
        <is>
          <t>1. Implementasi HA pada jaringan utama.</t>
        </is>
      </c>
      <c r="J2" s="5" t="inlineStr">
        <is>
          <t>Max</t>
        </is>
      </c>
      <c r="K2" s="3" t="inlineStr">
        <is>
          <t>Gabungan ketersediaan jaringan dan kesiapan pemulihan.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Simulasi Failover DRC rutin.</t>
        </is>
      </c>
      <c r="J3" s="3" t="n"/>
      <c r="K3" s="3" t="n"/>
    </row>
    <row r="4" ht="40" customHeight="1">
      <c r="A4" s="2" t="n">
        <v>2</v>
      </c>
      <c r="B4" s="3" t="inlineStr">
        <is>
          <t>Akselerasi transformasi digital dan kanal penjualan</t>
        </is>
      </c>
      <c r="C4" s="3" t="inlineStr">
        <is>
          <t>Digital Sales Product Development Progress</t>
        </is>
      </c>
      <c r="D4" s="2" t="n">
        <v>50</v>
      </c>
      <c r="E4" s="2" t="n">
        <v>100</v>
      </c>
      <c r="F4" s="3" t="inlineStr">
        <is>
          <t>% (Progress)</t>
        </is>
      </c>
      <c r="G4" s="4" t="n">
        <v>0.2</v>
      </c>
      <c r="H4" s="3" t="inlineStr">
        <is>
          <t>No. 6 Commercial Growth &amp; Ancillary Revenue</t>
        </is>
      </c>
      <c r="I4" s="2" t="inlineStr">
        <is>
          <t>1. Fitur Core System (Web/App).</t>
        </is>
      </c>
      <c r="J4" s="5" t="inlineStr">
        <is>
          <t>Max</t>
        </is>
      </c>
      <c r="K4" s="3" t="inlineStr">
        <is>
          <t>Fokus pada penyelesaian fitur penjualan tiket.</t>
        </is>
      </c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2. Integrasi NDC Level 4.</t>
        </is>
      </c>
      <c r="J5" s="3" t="n"/>
      <c r="K5" s="3" t="n"/>
    </row>
    <row r="6" ht="40" customHeight="1">
      <c r="A6" s="2" t="n">
        <v>3</v>
      </c>
      <c r="B6" s="3" t="inlineStr">
        <is>
          <t>Optimalisasi monetisasi produk tambahan (Ancillary)</t>
        </is>
      </c>
      <c r="C6" s="3" t="inlineStr">
        <is>
          <t>Deployment Ancillary Merchandising Engine</t>
        </is>
      </c>
      <c r="D6" s="2" t="n">
        <v>1</v>
      </c>
      <c r="E6" s="2" t="n">
        <v>2</v>
      </c>
      <c r="F6" s="3" t="inlineStr">
        <is>
          <t>Channels</t>
        </is>
      </c>
      <c r="G6" s="4" t="n">
        <v>0.1</v>
      </c>
      <c r="H6" s="3" t="inlineStr">
        <is>
          <t>No. 6 Commercial Growth &amp; Ancillary Revenue</t>
        </is>
      </c>
      <c r="I6" s="2" t="inlineStr">
        <is>
          <t>1. Fitur Dynamic Pricing.</t>
        </is>
      </c>
      <c r="J6" s="5" t="inlineStr">
        <is>
          <t>Max</t>
        </is>
      </c>
      <c r="K6" s="3" t="inlineStr">
        <is>
          <t>Menambah jumlah kanal yang mendukung fitur ancillary.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Algoritma Recommendation Engine.</t>
        </is>
      </c>
      <c r="J7" s="3" t="n"/>
      <c r="K7" s="3" t="n"/>
    </row>
    <row r="8" ht="40" customHeight="1">
      <c r="A8" s="2" t="n">
        <v>4</v>
      </c>
      <c r="B8" s="3" t="inlineStr">
        <is>
          <t>Integrasi sistem manajemen perusahaan (ERP)</t>
        </is>
      </c>
      <c r="C8" s="3" t="inlineStr">
        <is>
          <t>ERP SAP S/4HANA Readiness &amp; Integration</t>
        </is>
      </c>
      <c r="D8" s="2" t="n">
        <v>30</v>
      </c>
      <c r="E8" s="2" t="n">
        <v>100</v>
      </c>
      <c r="F8" s="3" t="inlineStr">
        <is>
          <t>% (Readiness)</t>
        </is>
      </c>
      <c r="G8" s="4" t="n">
        <v>0.15</v>
      </c>
      <c r="H8" s="3" t="inlineStr">
        <is>
          <t>No. 5 Digital Transformation &amp; SAP Integration</t>
        </is>
      </c>
      <c r="I8" s="2" t="inlineStr">
        <is>
          <t>1. Compliance perangkat user.</t>
        </is>
      </c>
      <c r="J8" s="5" t="inlineStr">
        <is>
          <t>Max</t>
        </is>
      </c>
      <c r="K8" s="3" t="inlineStr">
        <is>
          <t>Sinergi antara kesiapan hardware dan integrasi software.</t>
        </is>
      </c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2. Integrasi fungsional modul SAP.</t>
        </is>
      </c>
      <c r="J9" s="3" t="n"/>
      <c r="K9" s="3" t="n"/>
    </row>
    <row r="10" ht="40" customHeight="1">
      <c r="A10" s="2" t="n">
        <v>5</v>
      </c>
      <c r="B10" s="3" t="inlineStr">
        <is>
          <t>Penguatan keamanan siber dan perlindungan data</t>
        </is>
      </c>
      <c r="C10" s="3" t="inlineStr">
        <is>
          <t>Cybersecurity Maturity &amp; Risk Control</t>
        </is>
      </c>
      <c r="D10" s="2" t="n">
        <v>75</v>
      </c>
      <c r="E10" s="2" t="n">
        <v>95</v>
      </c>
      <c r="F10" s="3" t="inlineStr">
        <is>
          <t>%</t>
        </is>
      </c>
      <c r="G10" s="4" t="n">
        <v>0.15</v>
      </c>
      <c r="H10" s="3" t="inlineStr">
        <is>
          <t>No. 7 Cybersecurity &amp; Data Privacy Maturity</t>
        </is>
      </c>
      <c r="I10" s="2" t="inlineStr">
        <is>
          <t>1. Remediasi kerentanan sistem.</t>
        </is>
      </c>
      <c r="J10" s="5" t="inlineStr">
        <is>
          <t>Max</t>
        </is>
      </c>
      <c r="K10" s="3" t="inlineStr">
        <is>
          <t>Menjaga tingkat keamanan dari ancaman siber.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Zero Unauthorised Access.</t>
        </is>
      </c>
      <c r="J11" s="3" t="n"/>
      <c r="K11" s="3" t="n"/>
    </row>
    <row r="12" ht="40" customHeight="1">
      <c r="A12" s="2" t="n">
        <v>6</v>
      </c>
      <c r="B12" s="3" t="inlineStr">
        <is>
          <t>Efisiensi biaya IT dan tata kelola aset</t>
        </is>
      </c>
      <c r="C12" s="3" t="inlineStr">
        <is>
          <t>IT Cost &amp; Asset Management Efficiency</t>
        </is>
      </c>
      <c r="D12" s="2" t="n">
        <v>75</v>
      </c>
      <c r="E12" s="2" t="n">
        <v>90</v>
      </c>
      <c r="F12" s="3" t="inlineStr">
        <is>
          <t>%</t>
        </is>
      </c>
      <c r="G12" s="4" t="n">
        <v>0.1</v>
      </c>
      <c r="H12" s="3" t="inlineStr">
        <is>
          <t>No. 3 Cost Leadership &amp; CASK Optimization</t>
        </is>
      </c>
      <c r="I12" s="2" t="inlineStr">
        <is>
          <t>1. Cloud utilization efficiency.</t>
        </is>
      </c>
      <c r="J12" s="5" t="inlineStr">
        <is>
          <t>Max</t>
        </is>
      </c>
      <c r="K12" s="3" t="inlineStr">
        <is>
          <t>Mengatur pengeluaran cloud dan ketertiban aset fisik.</t>
        </is>
      </c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2. Akurasi register aset IT.</t>
        </is>
      </c>
      <c r="J13" s="3" t="n"/>
      <c r="K13" s="3" t="n"/>
    </row>
    <row r="14" ht="40" customHeight="1">
      <c r="A14" s="2" t="n">
        <v>7</v>
      </c>
      <c r="B14" s="3" t="inlineStr">
        <is>
          <t>Peningkatan kualitas layanan dukungan teknologi</t>
        </is>
      </c>
      <c r="C14" s="3" t="inlineStr">
        <is>
          <t>IT Service Excellence &amp; Quality Score</t>
        </is>
      </c>
      <c r="D14" s="2" t="n">
        <v>3.5</v>
      </c>
      <c r="E14" s="2" t="n">
        <v>4.5</v>
      </c>
      <c r="F14" s="3" t="inlineStr">
        <is>
          <t>Score (1-5)</t>
        </is>
      </c>
      <c r="G14" s="4" t="n">
        <v>0.1</v>
      </c>
      <c r="H14" s="3" t="inlineStr">
        <is>
          <t>No. 2 On-Time Performance (OTP) &amp; Ops Reliability</t>
        </is>
      </c>
      <c r="I14" s="2" t="inlineStr">
        <is>
          <t>1. Pencapaian MTTR &amp; FCR.</t>
        </is>
      </c>
      <c r="J14" s="5" t="inlineStr">
        <is>
          <t>Max</t>
        </is>
      </c>
      <c r="K14" s="3" t="inlineStr">
        <is>
          <t>Mengukur kepuasan user dan kualitas kode aplikasi.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CSAT Score.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Penurunan Bug Rate.</t>
        </is>
      </c>
      <c r="J16" s="3" t="n"/>
      <c r="K1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6" t="inlineStr">
        <is>
          <t>Action Verb/KPI</t>
        </is>
      </c>
      <c r="B1" s="6" t="inlineStr">
        <is>
          <t>Target</t>
        </is>
      </c>
      <c r="C1" s="6" t="inlineStr">
        <is>
          <t>YTD Actual</t>
        </is>
      </c>
      <c r="D1" s="6" t="inlineStr">
        <is>
          <t>Polaritas</t>
        </is>
      </c>
      <c r="E1" s="6" t="inlineStr">
        <is>
          <t>Bobot</t>
        </is>
      </c>
      <c r="F1" s="6" t="inlineStr">
        <is>
          <t>Status</t>
        </is>
      </c>
      <c r="G1" s="6" t="inlineStr">
        <is>
          <t>Ach. Rate</t>
        </is>
      </c>
      <c r="H1" s="6" t="inlineStr">
        <is>
          <t>Score</t>
        </is>
      </c>
    </row>
    <row r="2" ht="30" customHeight="1">
      <c r="A2" s="3" t="inlineStr">
        <is>
          <t>Infrastructure Availability &amp; DR Readiness</t>
        </is>
      </c>
      <c r="B2" s="7" t="n">
        <v>99.98999999999999</v>
      </c>
      <c r="C2" s="19" t="n">
        <v>92.18000000000001</v>
      </c>
      <c r="D2" s="7" t="inlineStr">
        <is>
          <t>Max</t>
        </is>
      </c>
      <c r="E2" s="9" t="n">
        <v>0.2</v>
      </c>
      <c r="F2" s="7">
        <f>IF(G2="","—",IF(G2&gt;=0.9,"ACHIEVE","NOT ACHIEVE"))</f>
        <v/>
      </c>
      <c r="G2" s="10">
        <f>IF(C2="","",IF(D2="Max",C2/B2,B2/C2))</f>
        <v/>
      </c>
      <c r="H2" s="10">
        <f>IF(G2="","",G2*E2)</f>
        <v/>
      </c>
    </row>
    <row r="3" ht="30" customHeight="1">
      <c r="A3" s="3" t="inlineStr">
        <is>
          <t>Digital Sales Product Development Progress</t>
        </is>
      </c>
      <c r="B3" s="7" t="n">
        <v>100</v>
      </c>
      <c r="C3" s="19" t="n">
        <v>100</v>
      </c>
      <c r="D3" s="7" t="inlineStr">
        <is>
          <t>Max</t>
        </is>
      </c>
      <c r="E3" s="9" t="n">
        <v>0.2</v>
      </c>
      <c r="F3" s="7">
        <f>IF(G3="","—",IF(G3&gt;=0.9,"ACHIEVE","NOT ACHIEVE"))</f>
        <v/>
      </c>
      <c r="G3" s="10">
        <f>IF(C3="","",IF(D3="Max",C3/B3,B3/C3))</f>
        <v/>
      </c>
      <c r="H3" s="10">
        <f>IF(G3="","",G3*E3)</f>
        <v/>
      </c>
    </row>
    <row r="4" ht="30" customHeight="1">
      <c r="A4" s="3" t="inlineStr">
        <is>
          <t>Deployment Ancillary Merchandising Engine</t>
        </is>
      </c>
      <c r="B4" s="7" t="n">
        <v>2</v>
      </c>
      <c r="C4" s="19" t="n">
        <v>2</v>
      </c>
      <c r="D4" s="7" t="inlineStr">
        <is>
          <t>Max</t>
        </is>
      </c>
      <c r="E4" s="9" t="n">
        <v>0.1</v>
      </c>
      <c r="F4" s="7">
        <f>IF(G4="","—",IF(G4&gt;=0.9,"ACHIEVE","NOT ACHIEVE"))</f>
        <v/>
      </c>
      <c r="G4" s="10">
        <f>IF(C4="","",IF(D4="Max",C4/B4,B4/C4))</f>
        <v/>
      </c>
      <c r="H4" s="10">
        <f>IF(G4="","",G4*E4)</f>
        <v/>
      </c>
    </row>
    <row r="5" ht="30" customHeight="1">
      <c r="A5" s="3" t="inlineStr">
        <is>
          <t>ERP SAP S/4HANA Readiness &amp; Integration</t>
        </is>
      </c>
      <c r="B5" s="7" t="n">
        <v>100</v>
      </c>
      <c r="C5" s="19" t="n">
        <v>85.2</v>
      </c>
      <c r="D5" s="7" t="inlineStr">
        <is>
          <t>Max</t>
        </is>
      </c>
      <c r="E5" s="9" t="n">
        <v>0.15</v>
      </c>
      <c r="F5" s="7">
        <f>IF(G5="","—",IF(G5&gt;=0.9,"ACHIEVE","NOT ACHIEVE"))</f>
        <v/>
      </c>
      <c r="G5" s="10">
        <f>IF(C5="","",IF(D5="Max",C5/B5,B5/C5))</f>
        <v/>
      </c>
      <c r="H5" s="10">
        <f>IF(G5="","",G5*E5)</f>
        <v/>
      </c>
    </row>
    <row r="6" ht="30" customHeight="1">
      <c r="A6" s="3" t="inlineStr">
        <is>
          <t>Cybersecurity Maturity &amp; Risk Control</t>
        </is>
      </c>
      <c r="B6" s="7" t="n">
        <v>95</v>
      </c>
      <c r="C6" s="19" t="n">
        <v>97</v>
      </c>
      <c r="D6" s="7" t="inlineStr">
        <is>
          <t>Max</t>
        </is>
      </c>
      <c r="E6" s="9" t="n">
        <v>0.15</v>
      </c>
      <c r="F6" s="7">
        <f>IF(G6="","—",IF(G6&gt;=0.9,"ACHIEVE","NOT ACHIEVE"))</f>
        <v/>
      </c>
      <c r="G6" s="10">
        <f>IF(C6="","",IF(D6="Max",C6/B6,B6/C6))</f>
        <v/>
      </c>
      <c r="H6" s="10">
        <f>IF(G6="","",G6*E6)</f>
        <v/>
      </c>
    </row>
    <row r="7" ht="30" customHeight="1">
      <c r="A7" s="3" t="inlineStr">
        <is>
          <t>IT Cost &amp; Asset Management Efficiency</t>
        </is>
      </c>
      <c r="B7" s="7" t="n">
        <v>90</v>
      </c>
      <c r="C7" s="19" t="n">
        <v>92.59999999999999</v>
      </c>
      <c r="D7" s="7" t="inlineStr">
        <is>
          <t>Max</t>
        </is>
      </c>
      <c r="E7" s="9" t="n">
        <v>0.1</v>
      </c>
      <c r="F7" s="7">
        <f>IF(G7="","—",IF(G7&gt;=0.9,"ACHIEVE","NOT ACHIEVE"))</f>
        <v/>
      </c>
      <c r="G7" s="10">
        <f>IF(C7="","",IF(D7="Max",C7/B7,B7/C7))</f>
        <v/>
      </c>
      <c r="H7" s="10">
        <f>IF(G7="","",G7*E7)</f>
        <v/>
      </c>
    </row>
    <row r="8" ht="30" customHeight="1">
      <c r="A8" s="3" t="inlineStr">
        <is>
          <t>IT Service Excellence &amp; Quality Score</t>
        </is>
      </c>
      <c r="B8" s="7" t="n">
        <v>4.5</v>
      </c>
      <c r="C8" s="19" t="n">
        <v>4.63</v>
      </c>
      <c r="D8" s="7" t="inlineStr">
        <is>
          <t>Max</t>
        </is>
      </c>
      <c r="E8" s="9" t="n">
        <v>0.1</v>
      </c>
      <c r="F8" s="7">
        <f>IF(G8="","—",IF(G8&gt;=0.9,"ACHIEVE","NOT ACHIEVE"))</f>
        <v/>
      </c>
      <c r="G8" s="10">
        <f>IF(C8="","",IF(D8="Max",C8/B8,B8/C8))</f>
        <v/>
      </c>
      <c r="H8" s="10">
        <f>IF(G8="","",G8*E8)</f>
        <v/>
      </c>
    </row>
    <row r="9"/>
    <row r="10" ht="30" customHeight="1">
      <c r="A10" s="11" t="inlineStr">
        <is>
          <t xml:space="preserve">TOTAL SCORE KPI IT </t>
        </is>
      </c>
      <c r="H10" s="12">
        <f>IF(COUNTBLANK(C2:C8)&gt;0,"—",SUM(H2,H3,H4,H5,H6,H7,H8))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3" t="inlineStr">
        <is>
          <t xml:space="preserve">Total Score KPI IT </t>
        </is>
      </c>
      <c r="B1" s="14">
        <f>score_kpi!H10</f>
        <v/>
      </c>
    </row>
    <row r="3">
      <c r="A3" s="15" t="inlineStr">
        <is>
          <t>🟢 HIJAU ≥ 90%</t>
        </is>
      </c>
      <c r="B3" s="16" t="inlineStr">
        <is>
          <t>Performa sesuai/melampaui target</t>
        </is>
      </c>
    </row>
    <row r="4">
      <c r="A4" s="17" t="inlineStr">
        <is>
          <t>🟡 KUNING 75-89%</t>
        </is>
      </c>
      <c r="B4" s="16" t="inlineStr">
        <is>
          <t>Performa perlu perhatian</t>
        </is>
      </c>
    </row>
    <row r="5">
      <c r="A5" s="18" t="inlineStr">
        <is>
          <t>🔴 MERAH &lt; 75%</t>
        </is>
      </c>
      <c r="B5" s="16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2026-03-09T07:13:14Z</dcterms:modified>
</cp:coreProperties>
</file>